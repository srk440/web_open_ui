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lls" sheetId="2" state="visible" r:id="rId4"/>
    <sheet name="Components" sheetId="3" state="visible" r:id="rId5"/>
    <sheet name="APIs" sheetId="4" state="visible" r:id="rId6"/>
    <sheet name="Matrix" sheetId="5" state="visible" r:id="rId7"/>
  </sheets>
  <definedNames>
    <definedName function="false" hidden="true" localSheetId="3" name="_xlnm._FilterDatabase" vbProcedure="false">APIs!$A$1:$G$31</definedName>
    <definedName function="false" hidden="true" localSheetId="1" name="_xlnm._FilterDatabase" vbProcedure="false">Calls!$A$1:$H$31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<sst xmlns="http://schemas.openxmlformats.org/spreadsheetml/2006/main" count="614" uniqueCount="235">
  <si>
    <t xml:space="preserve">GoCart: components vs mock API calls</t>
  </si>
  <si>
    <t xml:space="preserve">Source: lib/mockApi.js and every file that calls it, on branch claude/clone-gocart-repo-jtezb1.</t>
  </si>
  <si>
    <t xml:space="preserve">Metric</t>
  </si>
  <si>
    <t xml:space="preserve">Value</t>
  </si>
  <si>
    <t xml:space="preserve">Components that call an API</t>
  </si>
  <si>
    <t xml:space="preserve">API functions defined in lib/mockApi.js</t>
  </si>
  <si>
    <t xml:space="preserve">API functions actually called</t>
  </si>
  <si>
    <t xml:space="preserve">API functions never called</t>
  </si>
  <si>
    <t xml:space="preserve">Total call sites</t>
  </si>
  <si>
    <t xml:space="preserve">  of which Reads</t>
  </si>
  <si>
    <t xml:space="preserve">  of which Writes</t>
  </si>
  <si>
    <t xml:space="preserve">Average APIs per component</t>
  </si>
  <si>
    <t xml:space="preserve">Most APIs called by one component</t>
  </si>
  <si>
    <t xml:space="preserve">By area</t>
  </si>
  <si>
    <t xml:space="preserve">Area</t>
  </si>
  <si>
    <t xml:space="preserve">Components</t>
  </si>
  <si>
    <t xml:space="preserve">Call sites</t>
  </si>
  <si>
    <t xml:space="preserve">Reads</t>
  </si>
  <si>
    <t xml:space="preserve">Writes</t>
  </si>
  <si>
    <t xml:space="preserve">App-wide</t>
  </si>
  <si>
    <t xml:space="preserve">Storefront</t>
  </si>
  <si>
    <t xml:space="preserve">Seller</t>
  </si>
  <si>
    <t xml:space="preserve">Admin</t>
  </si>
  <si>
    <t xml:space="preserve">Total</t>
  </si>
  <si>
    <t xml:space="preserve">Notes</t>
  </si>
  <si>
    <t xml:space="preserve">• "API" = an async function in lib/mockApi.js. There is no server; each would become one REST endpoint (see APIs sheet).</t>
  </si>
  <si>
    <t xml:space="preserve">• Counted calls include ones made through Redux thunks (fetchProducts, fetchAddresses, fetchRatings, addAddress, addRating).</t>
  </si>
  <si>
    <t xml:space="preserve">• Components that only read Redux state (ProductCard, Navbar, Cart page, etc.) make no API call and are not listed.</t>
  </si>
  <si>
    <t xml:space="preserve">• imageFileToDataUrl is a local image helper, not an API call, so it is excluded.</t>
  </si>
  <si>
    <t xml:space="preserve">• Tabs: Components (per component), Calls (every call site), APIs (per API), Matrix (component x API grid).</t>
  </si>
  <si>
    <t xml:space="preserve">Component</t>
  </si>
  <si>
    <t xml:space="preserve">File</t>
  </si>
  <si>
    <t xml:space="preserve">API function</t>
  </si>
  <si>
    <t xml:space="preserve">Read / Write</t>
  </si>
  <si>
    <t xml:space="preserve">Called via</t>
  </si>
  <si>
    <t xml:space="preserve">Trigger</t>
  </si>
  <si>
    <t xml:space="preserve">Handler in component</t>
  </si>
  <si>
    <t xml:space="preserve">StoreProvider</t>
  </si>
  <si>
    <t xml:space="preserve">app/StoreProvider.js</t>
  </si>
  <si>
    <t xml:space="preserve">getAddresses</t>
  </si>
  <si>
    <t xml:space="preserve">Read</t>
  </si>
  <si>
    <t xml:space="preserve">Redux thunk fetchAddresses</t>
  </si>
  <si>
    <t xml:space="preserve">On load</t>
  </si>
  <si>
    <t xml:space="preserve">useEffect</t>
  </si>
  <si>
    <t xml:space="preserve">getMyRatings</t>
  </si>
  <si>
    <t xml:space="preserve">Redux thunk fetchRatings</t>
  </si>
  <si>
    <t xml:space="preserve">getCart</t>
  </si>
  <si>
    <t xml:space="preserve">Direct</t>
  </si>
  <si>
    <t xml:space="preserve">saveCart</t>
  </si>
  <si>
    <t xml:space="preserve">Write</t>
  </si>
  <si>
    <t xml:space="preserve">Cart changes</t>
  </si>
  <si>
    <t xml:space="preserve">store.subscribe</t>
  </si>
  <si>
    <t xml:space="preserve">PublicLayout</t>
  </si>
  <si>
    <t xml:space="preserve">app/(public)/layout.jsx</t>
  </si>
  <si>
    <t xml:space="preserve">getProducts</t>
  </si>
  <si>
    <t xml:space="preserve">Redux thunk fetchProducts</t>
  </si>
  <si>
    <t xml:space="preserve">Orders (My Orders)</t>
  </si>
  <si>
    <t xml:space="preserve">app/(public)/orders/page.jsx</t>
  </si>
  <si>
    <t xml:space="preserve">getMyOrders</t>
  </si>
  <si>
    <t xml:space="preserve">StoreShop (/shop/[username])</t>
  </si>
  <si>
    <t xml:space="preserve">app/(public)/shop/[username]/page.jsx</t>
  </si>
  <si>
    <t xml:space="preserve">getStoreByUsername</t>
  </si>
  <si>
    <t xml:space="preserve">fetchStoreData</t>
  </si>
  <si>
    <t xml:space="preserve">CreateStore</t>
  </si>
  <si>
    <t xml:space="preserve">app/(public)/create-store/page.jsx</t>
  </si>
  <si>
    <t xml:space="preserve">getMyStore</t>
  </si>
  <si>
    <t xml:space="preserve">fetchSellerStatus</t>
  </si>
  <si>
    <t xml:space="preserve">createStore</t>
  </si>
  <si>
    <t xml:space="preserve">Submit form</t>
  </si>
  <si>
    <t xml:space="preserve">onSubmitHandler</t>
  </si>
  <si>
    <t xml:space="preserve">OrderSummary</t>
  </si>
  <si>
    <t xml:space="preserve">components/OrderSummary.jsx</t>
  </si>
  <si>
    <t xml:space="preserve">verifyCoupon</t>
  </si>
  <si>
    <t xml:space="preserve">Click Apply</t>
  </si>
  <si>
    <t xml:space="preserve">handleCouponCode</t>
  </si>
  <si>
    <t xml:space="preserve">placeOrder</t>
  </si>
  <si>
    <t xml:space="preserve">Click Place Order</t>
  </si>
  <si>
    <t xml:space="preserve">handlePlaceOrder</t>
  </si>
  <si>
    <t xml:space="preserve">AddressModal</t>
  </si>
  <si>
    <t xml:space="preserve">components/AddressModal.jsx</t>
  </si>
  <si>
    <t xml:space="preserve">addAddress</t>
  </si>
  <si>
    <t xml:space="preserve">Redux thunk addAddress</t>
  </si>
  <si>
    <t xml:space="preserve">handleSubmit</t>
  </si>
  <si>
    <t xml:space="preserve">RatingModal</t>
  </si>
  <si>
    <t xml:space="preserve">components/RatingModal.jsx</t>
  </si>
  <si>
    <t xml:space="preserve">addRating</t>
  </si>
  <si>
    <t xml:space="preserve">Redux thunk addRating</t>
  </si>
  <si>
    <t xml:space="preserve">Click Submit Rating</t>
  </si>
  <si>
    <t xml:space="preserve">After rating saved</t>
  </si>
  <si>
    <t xml:space="preserve">StoreLayout</t>
  </si>
  <si>
    <t xml:space="preserve">components/store/StoreLayout.jsx</t>
  </si>
  <si>
    <t xml:space="preserve">fetchIsSeller</t>
  </si>
  <si>
    <t xml:space="preserve">Seller Dashboard</t>
  </si>
  <si>
    <t xml:space="preserve">app/store/page.jsx</t>
  </si>
  <si>
    <t xml:space="preserve">getStoreDashboard</t>
  </si>
  <si>
    <t xml:space="preserve">fetchDashboardData</t>
  </si>
  <si>
    <t xml:space="preserve">AddProduct</t>
  </si>
  <si>
    <t xml:space="preserve">app/store/add-product/page.jsx</t>
  </si>
  <si>
    <t xml:space="preserve">addProduct</t>
  </si>
  <si>
    <t xml:space="preserve">ManageProducts</t>
  </si>
  <si>
    <t xml:space="preserve">app/store/manage-product/page.jsx</t>
  </si>
  <si>
    <t xml:space="preserve">getStoreProducts</t>
  </si>
  <si>
    <t xml:space="preserve">fetchProducts</t>
  </si>
  <si>
    <t xml:space="preserve">toggleStock</t>
  </si>
  <si>
    <t xml:space="preserve">Toggle stock switch</t>
  </si>
  <si>
    <t xml:space="preserve">StoreOrders</t>
  </si>
  <si>
    <t xml:space="preserve">app/store/orders/page.jsx</t>
  </si>
  <si>
    <t xml:space="preserve">getStoreOrders</t>
  </si>
  <si>
    <t xml:space="preserve">fetchOrders</t>
  </si>
  <si>
    <t xml:space="preserve">updateOrderStatus</t>
  </si>
  <si>
    <t xml:space="preserve">Change status dropdown</t>
  </si>
  <si>
    <t xml:space="preserve">AdminLayout</t>
  </si>
  <si>
    <t xml:space="preserve">components/admin/AdminLayout.jsx</t>
  </si>
  <si>
    <t xml:space="preserve">getIsAdmin</t>
  </si>
  <si>
    <t xml:space="preserve">fetchIsAdmin</t>
  </si>
  <si>
    <t xml:space="preserve">Admin Dashboard</t>
  </si>
  <si>
    <t xml:space="preserve">app/admin/page.jsx</t>
  </si>
  <si>
    <t xml:space="preserve">getAdminDashboard</t>
  </si>
  <si>
    <t xml:space="preserve">AdminStores</t>
  </si>
  <si>
    <t xml:space="preserve">app/admin/stores/page.jsx</t>
  </si>
  <si>
    <t xml:space="preserve">getApprovedStores</t>
  </si>
  <si>
    <t xml:space="preserve">fetchStores</t>
  </si>
  <si>
    <t xml:space="preserve">toggleStoreActive</t>
  </si>
  <si>
    <t xml:space="preserve">Toggle active switch</t>
  </si>
  <si>
    <t xml:space="preserve">toggleIsActive</t>
  </si>
  <si>
    <t xml:space="preserve">AdminApprove</t>
  </si>
  <si>
    <t xml:space="preserve">app/admin/approve/page.jsx</t>
  </si>
  <si>
    <t xml:space="preserve">getPendingStores</t>
  </si>
  <si>
    <t xml:space="preserve">setStoreStatus</t>
  </si>
  <si>
    <t xml:space="preserve">Click Approve / Reject</t>
  </si>
  <si>
    <t xml:space="preserve">handleApprove</t>
  </si>
  <si>
    <t xml:space="preserve">AdminCoupons</t>
  </si>
  <si>
    <t xml:space="preserve">app/admin/coupons/page.jsx</t>
  </si>
  <si>
    <t xml:space="preserve">getCoupons</t>
  </si>
  <si>
    <t xml:space="preserve">fetchCoupons</t>
  </si>
  <si>
    <t xml:space="preserve">addCoupon</t>
  </si>
  <si>
    <t xml:space="preserve">handleAddCoupon</t>
  </si>
  <si>
    <t xml:space="preserve">deleteCoupon</t>
  </si>
  <si>
    <t xml:space="preserve">Click delete icon</t>
  </si>
  <si>
    <t xml:space="preserve">Type</t>
  </si>
  <si>
    <t xml:space="preserve">APIs called</t>
  </si>
  <si>
    <t xml:space="preserve">API functions</t>
  </si>
  <si>
    <t xml:space="preserve">Provider</t>
  </si>
  <si>
    <t xml:space="preserve">getAddresses, getMyRatings, getCart, saveCart</t>
  </si>
  <si>
    <t xml:space="preserve">Page</t>
  </si>
  <si>
    <t xml:space="preserve">getCoupons, addCoupon, deleteCoupon</t>
  </si>
  <si>
    <t xml:space="preserve">getMyStore, createStore</t>
  </si>
  <si>
    <t xml:space="preserve">verifyCoupon, placeOrder</t>
  </si>
  <si>
    <t xml:space="preserve">addRating, getProducts</t>
  </si>
  <si>
    <t xml:space="preserve">getStoreProducts, toggleStock</t>
  </si>
  <si>
    <t xml:space="preserve">getStoreOrders, updateOrderStatus</t>
  </si>
  <si>
    <t xml:space="preserve">getPendingStores, setStoreStatus</t>
  </si>
  <si>
    <t xml:space="preserve">getApprovedStores, toggleStoreActive</t>
  </si>
  <si>
    <t xml:space="preserve">Layout</t>
  </si>
  <si>
    <t xml:space="preserve">"APIs called" counts call sites in the Calls sheet; edit Calls and these update.</t>
  </si>
  <si>
    <t xml:space="preserve">Domain</t>
  </si>
  <si>
    <t xml:space="preserve">What it does</t>
  </si>
  <si>
    <t xml:space="preserve">Equivalent REST endpoint (for a real backend)</t>
  </si>
  <si>
    <t xml:space="preserve">Components calling</t>
  </si>
  <si>
    <t xml:space="preserve">Called by</t>
  </si>
  <si>
    <t xml:space="preserve">Products</t>
  </si>
  <si>
    <t xml:space="preserve">All products from live stores, with store and ratings joined</t>
  </si>
  <si>
    <t xml:space="preserve">GET /api/products</t>
  </si>
  <si>
    <t xml:space="preserve">PublicLayout, RatingModal</t>
  </si>
  <si>
    <t xml:space="preserve">Current user's store and its status</t>
  </si>
  <si>
    <t xml:space="preserve">GET /api/store/is-seller</t>
  </si>
  <si>
    <t xml:space="preserve">CreateStore, StoreLayout</t>
  </si>
  <si>
    <t xml:space="preserve">Addresses</t>
  </si>
  <si>
    <t xml:space="preserve">Save a new address</t>
  </si>
  <si>
    <t xml:space="preserve">POST /api/address</t>
  </si>
  <si>
    <t xml:space="preserve">Current user's saved addresses</t>
  </si>
  <si>
    <t xml:space="preserve">GET /api/address</t>
  </si>
  <si>
    <t xml:space="preserve">Platform totals and orders per day</t>
  </si>
  <si>
    <t xml:space="preserve">GET /api/admin/dashboard</t>
  </si>
  <si>
    <t xml:space="preserve">All approved stores</t>
  </si>
  <si>
    <t xml:space="preserve">GET /api/admin/stores</t>
  </si>
  <si>
    <t xml:space="preserve">Is the current user an admin</t>
  </si>
  <si>
    <t xml:space="preserve">GET /api/admin/is-admin</t>
  </si>
  <si>
    <t xml:space="preserve">Stores waiting for approval</t>
  </si>
  <si>
    <t xml:space="preserve">GET /api/admin/stores?status=pending</t>
  </si>
  <si>
    <t xml:space="preserve">Approve or reject a store</t>
  </si>
  <si>
    <t xml:space="preserve">POST /api/admin/approve-store</t>
  </si>
  <si>
    <t xml:space="preserve">Activate or deactivate a store</t>
  </si>
  <si>
    <t xml:space="preserve">PATCH /api/admin/stores/:id</t>
  </si>
  <si>
    <t xml:space="preserve">Cart</t>
  </si>
  <si>
    <t xml:space="preserve">Load the user's saved cart</t>
  </si>
  <si>
    <t xml:space="preserve">GET /api/cart</t>
  </si>
  <si>
    <t xml:space="preserve">Save the user's cart</t>
  </si>
  <si>
    <t xml:space="preserve">PUT /api/cart</t>
  </si>
  <si>
    <t xml:space="preserve">Coupons</t>
  </si>
  <si>
    <t xml:space="preserve">Create a coupon (admin)</t>
  </si>
  <si>
    <t xml:space="preserve">POST /api/admin/coupons</t>
  </si>
  <si>
    <t xml:space="preserve">Delete a coupon (admin)</t>
  </si>
  <si>
    <t xml:space="preserve">DELETE /api/admin/coupons/:code</t>
  </si>
  <si>
    <t xml:space="preserve">List all coupons (admin)</t>
  </si>
  <si>
    <t xml:space="preserve">GET /api/admin/coupons</t>
  </si>
  <si>
    <t xml:space="preserve">Check a coupon code (exists, not expired, eligibility)</t>
  </si>
  <si>
    <t xml:space="preserve">POST /api/coupons/verify</t>
  </si>
  <si>
    <t xml:space="preserve">Orders</t>
  </si>
  <si>
    <t xml:space="preserve">Current user's orders</t>
  </si>
  <si>
    <t xml:space="preserve">GET /api/orders</t>
  </si>
  <si>
    <t xml:space="preserve">Create orders from the cart (one per store), clear cart</t>
  </si>
  <si>
    <t xml:space="preserve">POST /api/orders</t>
  </si>
  <si>
    <t xml:space="preserve">One public store and its products</t>
  </si>
  <si>
    <t xml:space="preserve">GET /api/stores/:username</t>
  </si>
  <si>
    <t xml:space="preserve">Ratings</t>
  </si>
  <si>
    <t xml:space="preserve">Rate a product from a delivered order</t>
  </si>
  <si>
    <t xml:space="preserve">POST /api/ratings</t>
  </si>
  <si>
    <t xml:space="preserve">Ratings the current user has given</t>
  </si>
  <si>
    <t xml:space="preserve">GET /api/ratings</t>
  </si>
  <si>
    <t xml:space="preserve">Create a product</t>
  </si>
  <si>
    <t xml:space="preserve">POST /api/store/products</t>
  </si>
  <si>
    <t xml:space="preserve">Apply for a new store (status pending)</t>
  </si>
  <si>
    <t xml:space="preserve">POST /api/store</t>
  </si>
  <si>
    <t xml:space="preserve">Seller totals and reviews</t>
  </si>
  <si>
    <t xml:space="preserve">GET /api/store/dashboard</t>
  </si>
  <si>
    <t xml:space="preserve">Orders for the seller's store</t>
  </si>
  <si>
    <t xml:space="preserve">GET /api/store/orders</t>
  </si>
  <si>
    <t xml:space="preserve">Seller's own products</t>
  </si>
  <si>
    <t xml:space="preserve">GET /api/store/products</t>
  </si>
  <si>
    <t xml:space="preserve">Flip a product in/out of stock</t>
  </si>
  <si>
    <t xml:space="preserve">PATCH /api/store/products/:id/stock</t>
  </si>
  <si>
    <t xml:space="preserve">Change an order status</t>
  </si>
  <si>
    <t xml:space="preserve">PATCH /api/store/orders/:id</t>
  </si>
  <si>
    <t xml:space="preserve">resetDatabase</t>
  </si>
  <si>
    <t xml:space="preserve">Dev</t>
  </si>
  <si>
    <t xml:space="preserve">Reset the mock db to the seed (dev helper, not used by UI)</t>
  </si>
  <si>
    <t xml:space="preserve">-</t>
  </si>
  <si>
    <t xml:space="preserve">(not called)</t>
  </si>
  <si>
    <t xml:space="preserve">getCurrentUser</t>
  </si>
  <si>
    <t xml:space="preserve">User</t>
  </si>
  <si>
    <t xml:space="preserve">Current user profile (exported, not used yet)</t>
  </si>
  <si>
    <t xml:space="preserve">GET /api/me</t>
  </si>
  <si>
    <t xml:space="preserve">Component \ API</t>
  </si>
  <si>
    <t xml:space="preserve">Total APIs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</si>
</sst>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33333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E8F5E9"/>
      </patternFill>
    </fill>
    <fill>
      <patternFill patternType="solid">
        <fgColor rgb="FFEDE7F6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2F5FA"/>
      </patternFill>
    </fill>
    <fill>
      <patternFill patternType="solid">
        <fgColor rgb="FFD9E1F2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FFFFFF"/>
      </font>
      <fill>
        <patternFill>
          <bgColor rgb="FF4472C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5FA"/>
      <rgbColor rgb="FFEDE7F6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COUNTA(Components!A2:A19)</f>
        <v>18</v>
      </c>
    </row>
    <row r="5" customFormat="false" ht="15" hidden="false" customHeight="false" outlineLevel="0" collapsed="false">
      <c r="A5" s="6" t="s">
        <v>5</v>
      </c>
      <c r="B5" s="7" t="n">
        <f aca="false">COUNTA(APIs!A2:A31)</f>
        <v>30</v>
      </c>
    </row>
    <row r="6" customFormat="false" ht="15" hidden="false" customHeight="false" outlineLevel="0" collapsed="false">
      <c r="A6" s="4" t="s">
        <v>6</v>
      </c>
      <c r="B6" s="5" t="n">
        <f aca="false">COUNTIF(APIs!F2:F31,"&gt;0")</f>
        <v>28</v>
      </c>
    </row>
    <row r="7" customFormat="false" ht="15" hidden="false" customHeight="false" outlineLevel="0" collapsed="false">
      <c r="A7" s="6" t="s">
        <v>7</v>
      </c>
      <c r="B7" s="7" t="n">
        <f aca="false">COUNTIF(APIs!F2:F31,0)</f>
        <v>2</v>
      </c>
    </row>
    <row r="8" customFormat="false" ht="15" hidden="false" customHeight="false" outlineLevel="0" collapsed="false">
      <c r="A8" s="4" t="s">
        <v>8</v>
      </c>
      <c r="B8" s="5" t="n">
        <f aca="false">COUNTA(Calls!A2:A31)</f>
        <v>30</v>
      </c>
    </row>
    <row r="9" customFormat="false" ht="15" hidden="false" customHeight="false" outlineLevel="0" collapsed="false">
      <c r="A9" s="6" t="s">
        <v>9</v>
      </c>
      <c r="B9" s="7" t="n">
        <f aca="false">COUNTIF(Calls!$E$2:$E$31,"Read")</f>
        <v>18</v>
      </c>
    </row>
    <row r="10" customFormat="false" ht="15" hidden="false" customHeight="false" outlineLevel="0" collapsed="false">
      <c r="A10" s="4" t="s">
        <v>10</v>
      </c>
      <c r="B10" s="5" t="n">
        <f aca="false">COUNTIF(Calls!$E$2:$E$31,"Write")</f>
        <v>12</v>
      </c>
    </row>
    <row r="11" customFormat="false" ht="15" hidden="false" customHeight="false" outlineLevel="0" collapsed="false">
      <c r="A11" s="6" t="s">
        <v>11</v>
      </c>
      <c r="B11" s="8" t="n">
        <f aca="false">IFERROR(B8/B4,0)</f>
        <v>1.66666666666667</v>
      </c>
    </row>
    <row r="12" customFormat="false" ht="15" hidden="false" customHeight="false" outlineLevel="0" collapsed="false">
      <c r="A12" s="4" t="s">
        <v>12</v>
      </c>
      <c r="B12" s="5" t="n">
        <f aca="false">MAX(Components!E2:E19)</f>
        <v>4</v>
      </c>
    </row>
    <row r="13" customFormat="false" ht="15" hidden="false" customHeight="false" outlineLevel="0" collapsed="false">
      <c r="A13" s="9" t="s">
        <v>13</v>
      </c>
    </row>
    <row r="14" customFormat="false" ht="15" hidden="false" customHeight="false" outlineLevel="0" collapsed="false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</row>
    <row r="15" customFormat="false" ht="15" hidden="false" customHeight="false" outlineLevel="0" collapsed="false">
      <c r="A15" s="10" t="s">
        <v>19</v>
      </c>
      <c r="B15" s="5" t="n">
        <f aca="false">COUNTIF(Components!C2:C19,A15)</f>
        <v>1</v>
      </c>
      <c r="C15" s="5" t="n">
        <f aca="false">COUNTIF(Calls!$C$2:$C$31,A15)</f>
        <v>4</v>
      </c>
      <c r="D15" s="5" t="n">
        <f aca="false">COUNTIFS(Calls!$C$2:$C$31,A15,Calls!$E$2:$E$31,"Read")</f>
        <v>3</v>
      </c>
      <c r="E15" s="5" t="n">
        <f aca="false">COUNTIFS(Calls!$C$2:$C$31,A15,Calls!$E$2:$E$31,"Write")</f>
        <v>1</v>
      </c>
    </row>
    <row r="16" customFormat="false" ht="15" hidden="false" customHeight="false" outlineLevel="0" collapsed="false">
      <c r="A16" s="11" t="s">
        <v>20</v>
      </c>
      <c r="B16" s="7" t="n">
        <f aca="false">COUNTIF(Components!C2:C19,A16)</f>
        <v>7</v>
      </c>
      <c r="C16" s="7" t="n">
        <f aca="false">COUNTIF(Calls!$C$2:$C$31,A16)</f>
        <v>10</v>
      </c>
      <c r="D16" s="7" t="n">
        <f aca="false">COUNTIFS(Calls!$C$2:$C$31,A16,Calls!$E$2:$E$31,"Read")</f>
        <v>6</v>
      </c>
      <c r="E16" s="7" t="n">
        <f aca="false">COUNTIFS(Calls!$C$2:$C$31,A16,Calls!$E$2:$E$31,"Write")</f>
        <v>4</v>
      </c>
    </row>
    <row r="17" customFormat="false" ht="15" hidden="false" customHeight="false" outlineLevel="0" collapsed="false">
      <c r="A17" s="12" t="s">
        <v>21</v>
      </c>
      <c r="B17" s="5" t="n">
        <f aca="false">COUNTIF(Components!C2:C19,A17)</f>
        <v>5</v>
      </c>
      <c r="C17" s="5" t="n">
        <f aca="false">COUNTIF(Calls!$C$2:$C$31,A17)</f>
        <v>7</v>
      </c>
      <c r="D17" s="5" t="n">
        <f aca="false">COUNTIFS(Calls!$C$2:$C$31,A17,Calls!$E$2:$E$31,"Read")</f>
        <v>4</v>
      </c>
      <c r="E17" s="5" t="n">
        <f aca="false">COUNTIFS(Calls!$C$2:$C$31,A17,Calls!$E$2:$E$31,"Write")</f>
        <v>3</v>
      </c>
    </row>
    <row r="18" customFormat="false" ht="15" hidden="false" customHeight="false" outlineLevel="0" collapsed="false">
      <c r="A18" s="13" t="s">
        <v>22</v>
      </c>
      <c r="B18" s="7" t="n">
        <f aca="false">COUNTIF(Components!C2:C19,A18)</f>
        <v>5</v>
      </c>
      <c r="C18" s="7" t="n">
        <f aca="false">COUNTIF(Calls!$C$2:$C$31,A18)</f>
        <v>9</v>
      </c>
      <c r="D18" s="7" t="n">
        <f aca="false">COUNTIFS(Calls!$C$2:$C$31,A18,Calls!$E$2:$E$31,"Read")</f>
        <v>5</v>
      </c>
      <c r="E18" s="7" t="n">
        <f aca="false">COUNTIFS(Calls!$C$2:$C$31,A18,Calls!$E$2:$E$31,"Write")</f>
        <v>4</v>
      </c>
    </row>
    <row r="19" customFormat="false" ht="15" hidden="false" customHeight="false" outlineLevel="0" collapsed="false">
      <c r="A19" s="14" t="s">
        <v>23</v>
      </c>
      <c r="B19" s="15" t="n">
        <f aca="false">SUM(B15:B18)</f>
        <v>18</v>
      </c>
      <c r="C19" s="15" t="n">
        <f aca="false">SUM(C15:C18)</f>
        <v>30</v>
      </c>
      <c r="D19" s="15" t="n">
        <f aca="false">SUM(D15:D18)</f>
        <v>18</v>
      </c>
      <c r="E19" s="15" t="n">
        <f aca="false">SUM(E15:E18)</f>
        <v>12</v>
      </c>
    </row>
    <row r="21" customFormat="false" ht="15" hidden="false" customHeight="false" outlineLevel="0" collapsed="false">
      <c r="A21" s="9" t="s">
        <v>24</v>
      </c>
    </row>
    <row r="22" customFormat="false" ht="15" hidden="false" customHeight="false" outlineLevel="0" collapsed="false">
      <c r="A22" s="16" t="s">
        <v>25</v>
      </c>
    </row>
    <row r="23" customFormat="false" ht="15" hidden="false" customHeight="false" outlineLevel="0" collapsed="false">
      <c r="A23" s="16" t="s">
        <v>26</v>
      </c>
    </row>
    <row r="24" customFormat="false" ht="15" hidden="false" customHeight="false" outlineLevel="0" collapsed="false">
      <c r="A24" s="16" t="s">
        <v>27</v>
      </c>
    </row>
    <row r="25" customFormat="false" ht="15" hidden="false" customHeight="false" outlineLevel="0" collapsed="false">
      <c r="A25" s="16" t="s">
        <v>28</v>
      </c>
    </row>
    <row r="26" customFormat="false" ht="15" hidden="false" customHeight="false" outlineLevel="0" collapsed="false">
      <c r="A26" s="1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26.85" hidden="false" customHeight="false" outlineLevel="0" collapsed="false">
      <c r="A1" s="3" t="s">
        <v>30</v>
      </c>
      <c r="B1" s="3" t="s">
        <v>31</v>
      </c>
      <c r="C1" s="3" t="s">
        <v>14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customFormat="false" ht="15" hidden="false" customHeight="false" outlineLevel="0" collapsed="false">
      <c r="A2" s="4" t="s">
        <v>37</v>
      </c>
      <c r="B2" s="4" t="s">
        <v>38</v>
      </c>
      <c r="C2" s="5" t="s">
        <v>19</v>
      </c>
      <c r="D2" s="4" t="s">
        <v>39</v>
      </c>
      <c r="E2" s="5" t="s">
        <v>40</v>
      </c>
      <c r="F2" s="4" t="s">
        <v>41</v>
      </c>
      <c r="G2" s="4" t="s">
        <v>42</v>
      </c>
      <c r="H2" s="4" t="s">
        <v>43</v>
      </c>
    </row>
    <row r="3" customFormat="false" ht="15" hidden="false" customHeight="false" outlineLevel="0" collapsed="false">
      <c r="A3" s="6" t="s">
        <v>37</v>
      </c>
      <c r="B3" s="6" t="s">
        <v>38</v>
      </c>
      <c r="C3" s="7" t="s">
        <v>19</v>
      </c>
      <c r="D3" s="6" t="s">
        <v>44</v>
      </c>
      <c r="E3" s="7" t="s">
        <v>40</v>
      </c>
      <c r="F3" s="6" t="s">
        <v>45</v>
      </c>
      <c r="G3" s="6" t="s">
        <v>42</v>
      </c>
      <c r="H3" s="6" t="s">
        <v>43</v>
      </c>
    </row>
    <row r="4" customFormat="false" ht="15" hidden="false" customHeight="false" outlineLevel="0" collapsed="false">
      <c r="A4" s="4" t="s">
        <v>37</v>
      </c>
      <c r="B4" s="4" t="s">
        <v>38</v>
      </c>
      <c r="C4" s="5" t="s">
        <v>19</v>
      </c>
      <c r="D4" s="4" t="s">
        <v>46</v>
      </c>
      <c r="E4" s="5" t="s">
        <v>40</v>
      </c>
      <c r="F4" s="4" t="s">
        <v>47</v>
      </c>
      <c r="G4" s="4" t="s">
        <v>42</v>
      </c>
      <c r="H4" s="4" t="s">
        <v>43</v>
      </c>
    </row>
    <row r="5" customFormat="false" ht="15" hidden="false" customHeight="false" outlineLevel="0" collapsed="false">
      <c r="A5" s="6" t="s">
        <v>37</v>
      </c>
      <c r="B5" s="6" t="s">
        <v>38</v>
      </c>
      <c r="C5" s="7" t="s">
        <v>19</v>
      </c>
      <c r="D5" s="6" t="s">
        <v>48</v>
      </c>
      <c r="E5" s="7" t="s">
        <v>49</v>
      </c>
      <c r="F5" s="6" t="s">
        <v>47</v>
      </c>
      <c r="G5" s="6" t="s">
        <v>50</v>
      </c>
      <c r="H5" s="6" t="s">
        <v>51</v>
      </c>
    </row>
    <row r="6" customFormat="false" ht="15" hidden="false" customHeight="false" outlineLevel="0" collapsed="false">
      <c r="A6" s="4" t="s">
        <v>52</v>
      </c>
      <c r="B6" s="4" t="s">
        <v>53</v>
      </c>
      <c r="C6" s="5" t="s">
        <v>20</v>
      </c>
      <c r="D6" s="4" t="s">
        <v>54</v>
      </c>
      <c r="E6" s="5" t="s">
        <v>40</v>
      </c>
      <c r="F6" s="4" t="s">
        <v>55</v>
      </c>
      <c r="G6" s="4" t="s">
        <v>42</v>
      </c>
      <c r="H6" s="4" t="s">
        <v>43</v>
      </c>
    </row>
    <row r="7" customFormat="false" ht="15" hidden="false" customHeight="false" outlineLevel="0" collapsed="false">
      <c r="A7" s="6" t="s">
        <v>56</v>
      </c>
      <c r="B7" s="6" t="s">
        <v>57</v>
      </c>
      <c r="C7" s="7" t="s">
        <v>20</v>
      </c>
      <c r="D7" s="6" t="s">
        <v>58</v>
      </c>
      <c r="E7" s="7" t="s">
        <v>40</v>
      </c>
      <c r="F7" s="6" t="s">
        <v>47</v>
      </c>
      <c r="G7" s="6" t="s">
        <v>42</v>
      </c>
      <c r="H7" s="6" t="s">
        <v>43</v>
      </c>
    </row>
    <row r="8" customFormat="false" ht="15" hidden="false" customHeight="false" outlineLevel="0" collapsed="false">
      <c r="A8" s="4" t="s">
        <v>59</v>
      </c>
      <c r="B8" s="4" t="s">
        <v>60</v>
      </c>
      <c r="C8" s="5" t="s">
        <v>20</v>
      </c>
      <c r="D8" s="4" t="s">
        <v>61</v>
      </c>
      <c r="E8" s="5" t="s">
        <v>40</v>
      </c>
      <c r="F8" s="4" t="s">
        <v>47</v>
      </c>
      <c r="G8" s="4" t="s">
        <v>42</v>
      </c>
      <c r="H8" s="4" t="s">
        <v>62</v>
      </c>
    </row>
    <row r="9" customFormat="false" ht="15" hidden="false" customHeight="false" outlineLevel="0" collapsed="false">
      <c r="A9" s="6" t="s">
        <v>63</v>
      </c>
      <c r="B9" s="6" t="s">
        <v>64</v>
      </c>
      <c r="C9" s="7" t="s">
        <v>20</v>
      </c>
      <c r="D9" s="6" t="s">
        <v>65</v>
      </c>
      <c r="E9" s="7" t="s">
        <v>40</v>
      </c>
      <c r="F9" s="6" t="s">
        <v>47</v>
      </c>
      <c r="G9" s="6" t="s">
        <v>42</v>
      </c>
      <c r="H9" s="6" t="s">
        <v>66</v>
      </c>
    </row>
    <row r="10" customFormat="false" ht="15" hidden="false" customHeight="false" outlineLevel="0" collapsed="false">
      <c r="A10" s="4" t="s">
        <v>63</v>
      </c>
      <c r="B10" s="4" t="s">
        <v>64</v>
      </c>
      <c r="C10" s="5" t="s">
        <v>20</v>
      </c>
      <c r="D10" s="4" t="s">
        <v>67</v>
      </c>
      <c r="E10" s="5" t="s">
        <v>49</v>
      </c>
      <c r="F10" s="4" t="s">
        <v>47</v>
      </c>
      <c r="G10" s="4" t="s">
        <v>68</v>
      </c>
      <c r="H10" s="4" t="s">
        <v>69</v>
      </c>
    </row>
    <row r="11" customFormat="false" ht="15" hidden="false" customHeight="false" outlineLevel="0" collapsed="false">
      <c r="A11" s="6" t="s">
        <v>70</v>
      </c>
      <c r="B11" s="6" t="s">
        <v>71</v>
      </c>
      <c r="C11" s="7" t="s">
        <v>20</v>
      </c>
      <c r="D11" s="6" t="s">
        <v>72</v>
      </c>
      <c r="E11" s="7" t="s">
        <v>40</v>
      </c>
      <c r="F11" s="6" t="s">
        <v>47</v>
      </c>
      <c r="G11" s="6" t="s">
        <v>73</v>
      </c>
      <c r="H11" s="6" t="s">
        <v>74</v>
      </c>
    </row>
    <row r="12" customFormat="false" ht="15" hidden="false" customHeight="false" outlineLevel="0" collapsed="false">
      <c r="A12" s="4" t="s">
        <v>70</v>
      </c>
      <c r="B12" s="4" t="s">
        <v>71</v>
      </c>
      <c r="C12" s="5" t="s">
        <v>20</v>
      </c>
      <c r="D12" s="4" t="s">
        <v>75</v>
      </c>
      <c r="E12" s="5" t="s">
        <v>49</v>
      </c>
      <c r="F12" s="4" t="s">
        <v>47</v>
      </c>
      <c r="G12" s="4" t="s">
        <v>76</v>
      </c>
      <c r="H12" s="4" t="s">
        <v>77</v>
      </c>
    </row>
    <row r="13" customFormat="false" ht="15" hidden="false" customHeight="false" outlineLevel="0" collapsed="false">
      <c r="A13" s="6" t="s">
        <v>78</v>
      </c>
      <c r="B13" s="6" t="s">
        <v>79</v>
      </c>
      <c r="C13" s="7" t="s">
        <v>20</v>
      </c>
      <c r="D13" s="6" t="s">
        <v>80</v>
      </c>
      <c r="E13" s="7" t="s">
        <v>49</v>
      </c>
      <c r="F13" s="6" t="s">
        <v>81</v>
      </c>
      <c r="G13" s="6" t="s">
        <v>68</v>
      </c>
      <c r="H13" s="6" t="s">
        <v>82</v>
      </c>
    </row>
    <row r="14" customFormat="false" ht="15" hidden="false" customHeight="false" outlineLevel="0" collapsed="false">
      <c r="A14" s="4" t="s">
        <v>83</v>
      </c>
      <c r="B14" s="4" t="s">
        <v>84</v>
      </c>
      <c r="C14" s="5" t="s">
        <v>20</v>
      </c>
      <c r="D14" s="4" t="s">
        <v>85</v>
      </c>
      <c r="E14" s="5" t="s">
        <v>49</v>
      </c>
      <c r="F14" s="4" t="s">
        <v>86</v>
      </c>
      <c r="G14" s="4" t="s">
        <v>87</v>
      </c>
      <c r="H14" s="4" t="s">
        <v>82</v>
      </c>
    </row>
    <row r="15" customFormat="false" ht="15" hidden="false" customHeight="false" outlineLevel="0" collapsed="false">
      <c r="A15" s="6" t="s">
        <v>83</v>
      </c>
      <c r="B15" s="6" t="s">
        <v>84</v>
      </c>
      <c r="C15" s="7" t="s">
        <v>20</v>
      </c>
      <c r="D15" s="6" t="s">
        <v>54</v>
      </c>
      <c r="E15" s="7" t="s">
        <v>40</v>
      </c>
      <c r="F15" s="6" t="s">
        <v>55</v>
      </c>
      <c r="G15" s="6" t="s">
        <v>88</v>
      </c>
      <c r="H15" s="6" t="s">
        <v>82</v>
      </c>
    </row>
    <row r="16" customFormat="false" ht="15" hidden="false" customHeight="false" outlineLevel="0" collapsed="false">
      <c r="A16" s="4" t="s">
        <v>89</v>
      </c>
      <c r="B16" s="4" t="s">
        <v>90</v>
      </c>
      <c r="C16" s="5" t="s">
        <v>21</v>
      </c>
      <c r="D16" s="4" t="s">
        <v>65</v>
      </c>
      <c r="E16" s="5" t="s">
        <v>40</v>
      </c>
      <c r="F16" s="4" t="s">
        <v>47</v>
      </c>
      <c r="G16" s="4" t="s">
        <v>42</v>
      </c>
      <c r="H16" s="4" t="s">
        <v>91</v>
      </c>
    </row>
    <row r="17" customFormat="false" ht="15" hidden="false" customHeight="false" outlineLevel="0" collapsed="false">
      <c r="A17" s="6" t="s">
        <v>92</v>
      </c>
      <c r="B17" s="6" t="s">
        <v>93</v>
      </c>
      <c r="C17" s="7" t="s">
        <v>21</v>
      </c>
      <c r="D17" s="6" t="s">
        <v>94</v>
      </c>
      <c r="E17" s="7" t="s">
        <v>40</v>
      </c>
      <c r="F17" s="6" t="s">
        <v>47</v>
      </c>
      <c r="G17" s="6" t="s">
        <v>42</v>
      </c>
      <c r="H17" s="6" t="s">
        <v>95</v>
      </c>
    </row>
    <row r="18" customFormat="false" ht="15" hidden="false" customHeight="false" outlineLevel="0" collapsed="false">
      <c r="A18" s="4" t="s">
        <v>96</v>
      </c>
      <c r="B18" s="4" t="s">
        <v>97</v>
      </c>
      <c r="C18" s="5" t="s">
        <v>21</v>
      </c>
      <c r="D18" s="4" t="s">
        <v>98</v>
      </c>
      <c r="E18" s="5" t="s">
        <v>49</v>
      </c>
      <c r="F18" s="4" t="s">
        <v>47</v>
      </c>
      <c r="G18" s="4" t="s">
        <v>68</v>
      </c>
      <c r="H18" s="4" t="s">
        <v>69</v>
      </c>
    </row>
    <row r="19" customFormat="false" ht="15" hidden="false" customHeight="false" outlineLevel="0" collapsed="false">
      <c r="A19" s="6" t="s">
        <v>99</v>
      </c>
      <c r="B19" s="6" t="s">
        <v>100</v>
      </c>
      <c r="C19" s="7" t="s">
        <v>21</v>
      </c>
      <c r="D19" s="6" t="s">
        <v>101</v>
      </c>
      <c r="E19" s="7" t="s">
        <v>40</v>
      </c>
      <c r="F19" s="6" t="s">
        <v>47</v>
      </c>
      <c r="G19" s="6" t="s">
        <v>42</v>
      </c>
      <c r="H19" s="6" t="s">
        <v>102</v>
      </c>
    </row>
    <row r="20" customFormat="false" ht="15" hidden="false" customHeight="false" outlineLevel="0" collapsed="false">
      <c r="A20" s="4" t="s">
        <v>99</v>
      </c>
      <c r="B20" s="4" t="s">
        <v>100</v>
      </c>
      <c r="C20" s="5" t="s">
        <v>21</v>
      </c>
      <c r="D20" s="4" t="s">
        <v>103</v>
      </c>
      <c r="E20" s="5" t="s">
        <v>49</v>
      </c>
      <c r="F20" s="4" t="s">
        <v>47</v>
      </c>
      <c r="G20" s="4" t="s">
        <v>104</v>
      </c>
      <c r="H20" s="4" t="s">
        <v>103</v>
      </c>
    </row>
    <row r="21" customFormat="false" ht="15" hidden="false" customHeight="false" outlineLevel="0" collapsed="false">
      <c r="A21" s="6" t="s">
        <v>105</v>
      </c>
      <c r="B21" s="6" t="s">
        <v>106</v>
      </c>
      <c r="C21" s="7" t="s">
        <v>21</v>
      </c>
      <c r="D21" s="6" t="s">
        <v>107</v>
      </c>
      <c r="E21" s="7" t="s">
        <v>40</v>
      </c>
      <c r="F21" s="6" t="s">
        <v>47</v>
      </c>
      <c r="G21" s="6" t="s">
        <v>42</v>
      </c>
      <c r="H21" s="6" t="s">
        <v>108</v>
      </c>
    </row>
    <row r="22" customFormat="false" ht="15" hidden="false" customHeight="false" outlineLevel="0" collapsed="false">
      <c r="A22" s="4" t="s">
        <v>105</v>
      </c>
      <c r="B22" s="4" t="s">
        <v>106</v>
      </c>
      <c r="C22" s="5" t="s">
        <v>21</v>
      </c>
      <c r="D22" s="4" t="s">
        <v>109</v>
      </c>
      <c r="E22" s="5" t="s">
        <v>49</v>
      </c>
      <c r="F22" s="4" t="s">
        <v>47</v>
      </c>
      <c r="G22" s="4" t="s">
        <v>110</v>
      </c>
      <c r="H22" s="4" t="s">
        <v>109</v>
      </c>
    </row>
    <row r="23" customFormat="false" ht="15" hidden="false" customHeight="false" outlineLevel="0" collapsed="false">
      <c r="A23" s="6" t="s">
        <v>111</v>
      </c>
      <c r="B23" s="6" t="s">
        <v>112</v>
      </c>
      <c r="C23" s="7" t="s">
        <v>22</v>
      </c>
      <c r="D23" s="6" t="s">
        <v>113</v>
      </c>
      <c r="E23" s="7" t="s">
        <v>40</v>
      </c>
      <c r="F23" s="6" t="s">
        <v>47</v>
      </c>
      <c r="G23" s="6" t="s">
        <v>42</v>
      </c>
      <c r="H23" s="6" t="s">
        <v>114</v>
      </c>
    </row>
    <row r="24" customFormat="false" ht="15" hidden="false" customHeight="false" outlineLevel="0" collapsed="false">
      <c r="A24" s="4" t="s">
        <v>115</v>
      </c>
      <c r="B24" s="4" t="s">
        <v>116</v>
      </c>
      <c r="C24" s="5" t="s">
        <v>22</v>
      </c>
      <c r="D24" s="4" t="s">
        <v>117</v>
      </c>
      <c r="E24" s="5" t="s">
        <v>40</v>
      </c>
      <c r="F24" s="4" t="s">
        <v>47</v>
      </c>
      <c r="G24" s="4" t="s">
        <v>42</v>
      </c>
      <c r="H24" s="4" t="s">
        <v>95</v>
      </c>
    </row>
    <row r="25" customFormat="false" ht="15" hidden="false" customHeight="false" outlineLevel="0" collapsed="false">
      <c r="A25" s="6" t="s">
        <v>118</v>
      </c>
      <c r="B25" s="6" t="s">
        <v>119</v>
      </c>
      <c r="C25" s="7" t="s">
        <v>22</v>
      </c>
      <c r="D25" s="6" t="s">
        <v>120</v>
      </c>
      <c r="E25" s="7" t="s">
        <v>40</v>
      </c>
      <c r="F25" s="6" t="s">
        <v>47</v>
      </c>
      <c r="G25" s="6" t="s">
        <v>42</v>
      </c>
      <c r="H25" s="6" t="s">
        <v>121</v>
      </c>
    </row>
    <row r="26" customFormat="false" ht="15" hidden="false" customHeight="false" outlineLevel="0" collapsed="false">
      <c r="A26" s="4" t="s">
        <v>118</v>
      </c>
      <c r="B26" s="4" t="s">
        <v>119</v>
      </c>
      <c r="C26" s="5" t="s">
        <v>22</v>
      </c>
      <c r="D26" s="4" t="s">
        <v>122</v>
      </c>
      <c r="E26" s="5" t="s">
        <v>49</v>
      </c>
      <c r="F26" s="4" t="s">
        <v>47</v>
      </c>
      <c r="G26" s="4" t="s">
        <v>123</v>
      </c>
      <c r="H26" s="4" t="s">
        <v>124</v>
      </c>
    </row>
    <row r="27" customFormat="false" ht="15" hidden="false" customHeight="false" outlineLevel="0" collapsed="false">
      <c r="A27" s="6" t="s">
        <v>125</v>
      </c>
      <c r="B27" s="6" t="s">
        <v>126</v>
      </c>
      <c r="C27" s="7" t="s">
        <v>22</v>
      </c>
      <c r="D27" s="6" t="s">
        <v>127</v>
      </c>
      <c r="E27" s="7" t="s">
        <v>40</v>
      </c>
      <c r="F27" s="6" t="s">
        <v>47</v>
      </c>
      <c r="G27" s="6" t="s">
        <v>42</v>
      </c>
      <c r="H27" s="6" t="s">
        <v>121</v>
      </c>
    </row>
    <row r="28" customFormat="false" ht="15" hidden="false" customHeight="false" outlineLevel="0" collapsed="false">
      <c r="A28" s="4" t="s">
        <v>125</v>
      </c>
      <c r="B28" s="4" t="s">
        <v>126</v>
      </c>
      <c r="C28" s="5" t="s">
        <v>22</v>
      </c>
      <c r="D28" s="4" t="s">
        <v>128</v>
      </c>
      <c r="E28" s="5" t="s">
        <v>49</v>
      </c>
      <c r="F28" s="4" t="s">
        <v>47</v>
      </c>
      <c r="G28" s="4" t="s">
        <v>129</v>
      </c>
      <c r="H28" s="4" t="s">
        <v>130</v>
      </c>
    </row>
    <row r="29" customFormat="false" ht="15" hidden="false" customHeight="false" outlineLevel="0" collapsed="false">
      <c r="A29" s="6" t="s">
        <v>131</v>
      </c>
      <c r="B29" s="6" t="s">
        <v>132</v>
      </c>
      <c r="C29" s="7" t="s">
        <v>22</v>
      </c>
      <c r="D29" s="6" t="s">
        <v>133</v>
      </c>
      <c r="E29" s="7" t="s">
        <v>40</v>
      </c>
      <c r="F29" s="6" t="s">
        <v>47</v>
      </c>
      <c r="G29" s="6" t="s">
        <v>42</v>
      </c>
      <c r="H29" s="6" t="s">
        <v>134</v>
      </c>
    </row>
    <row r="30" customFormat="false" ht="15" hidden="false" customHeight="false" outlineLevel="0" collapsed="false">
      <c r="A30" s="4" t="s">
        <v>131</v>
      </c>
      <c r="B30" s="4" t="s">
        <v>132</v>
      </c>
      <c r="C30" s="5" t="s">
        <v>22</v>
      </c>
      <c r="D30" s="4" t="s">
        <v>135</v>
      </c>
      <c r="E30" s="5" t="s">
        <v>49</v>
      </c>
      <c r="F30" s="4" t="s">
        <v>47</v>
      </c>
      <c r="G30" s="4" t="s">
        <v>68</v>
      </c>
      <c r="H30" s="4" t="s">
        <v>136</v>
      </c>
    </row>
    <row r="31" customFormat="false" ht="15" hidden="false" customHeight="false" outlineLevel="0" collapsed="false">
      <c r="A31" s="6" t="s">
        <v>131</v>
      </c>
      <c r="B31" s="6" t="s">
        <v>132</v>
      </c>
      <c r="C31" s="7" t="s">
        <v>22</v>
      </c>
      <c r="D31" s="6" t="s">
        <v>137</v>
      </c>
      <c r="E31" s="7" t="s">
        <v>49</v>
      </c>
      <c r="F31" s="6" t="s">
        <v>47</v>
      </c>
      <c r="G31" s="6" t="s">
        <v>138</v>
      </c>
      <c r="H31" s="6" t="s">
        <v>137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9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14</v>
      </c>
      <c r="D1" s="3" t="s">
        <v>139</v>
      </c>
      <c r="E1" s="3" t="s">
        <v>140</v>
      </c>
      <c r="F1" s="3" t="s">
        <v>17</v>
      </c>
      <c r="G1" s="3" t="s">
        <v>18</v>
      </c>
      <c r="H1" s="3" t="s">
        <v>141</v>
      </c>
    </row>
    <row r="2" customFormat="false" ht="15" hidden="false" customHeight="false" outlineLevel="0" collapsed="false">
      <c r="A2" s="4" t="s">
        <v>37</v>
      </c>
      <c r="B2" s="4" t="s">
        <v>38</v>
      </c>
      <c r="C2" s="17" t="s">
        <v>19</v>
      </c>
      <c r="D2" s="5" t="s">
        <v>142</v>
      </c>
      <c r="E2" s="5" t="n">
        <f aca="false">COUNTIF(Calls!$A$2:$A$31,A2)</f>
        <v>4</v>
      </c>
      <c r="F2" s="5" t="n">
        <f aca="false">COUNTIFS(Calls!$A$2:$A$31,A2,Calls!$E$2:$E$31,"Read")</f>
        <v>3</v>
      </c>
      <c r="G2" s="5" t="n">
        <f aca="false">COUNTIFS(Calls!$A$2:$A$31,A2,Calls!$E$2:$E$31,"Write")</f>
        <v>1</v>
      </c>
      <c r="H2" s="4" t="s">
        <v>143</v>
      </c>
    </row>
    <row r="3" customFormat="false" ht="15" hidden="false" customHeight="false" outlineLevel="0" collapsed="false">
      <c r="A3" s="6" t="s">
        <v>131</v>
      </c>
      <c r="B3" s="6" t="s">
        <v>132</v>
      </c>
      <c r="C3" s="18" t="s">
        <v>22</v>
      </c>
      <c r="D3" s="7" t="s">
        <v>144</v>
      </c>
      <c r="E3" s="7" t="n">
        <f aca="false">COUNTIF(Calls!$A$2:$A$31,A3)</f>
        <v>3</v>
      </c>
      <c r="F3" s="7" t="n">
        <f aca="false">COUNTIFS(Calls!$A$2:$A$31,A3,Calls!$E$2:$E$31,"Read")</f>
        <v>1</v>
      </c>
      <c r="G3" s="7" t="n">
        <f aca="false">COUNTIFS(Calls!$A$2:$A$31,A3,Calls!$E$2:$E$31,"Write")</f>
        <v>2</v>
      </c>
      <c r="H3" s="6" t="s">
        <v>145</v>
      </c>
    </row>
    <row r="4" customFormat="false" ht="15" hidden="false" customHeight="false" outlineLevel="0" collapsed="false">
      <c r="A4" s="4" t="s">
        <v>63</v>
      </c>
      <c r="B4" s="4" t="s">
        <v>64</v>
      </c>
      <c r="C4" s="19" t="s">
        <v>20</v>
      </c>
      <c r="D4" s="5" t="s">
        <v>144</v>
      </c>
      <c r="E4" s="5" t="n">
        <f aca="false">COUNTIF(Calls!$A$2:$A$31,A4)</f>
        <v>2</v>
      </c>
      <c r="F4" s="5" t="n">
        <f aca="false">COUNTIFS(Calls!$A$2:$A$31,A4,Calls!$E$2:$E$31,"Read")</f>
        <v>1</v>
      </c>
      <c r="G4" s="5" t="n">
        <f aca="false">COUNTIFS(Calls!$A$2:$A$31,A4,Calls!$E$2:$E$31,"Write")</f>
        <v>1</v>
      </c>
      <c r="H4" s="4" t="s">
        <v>146</v>
      </c>
    </row>
    <row r="5" customFormat="false" ht="15" hidden="false" customHeight="false" outlineLevel="0" collapsed="false">
      <c r="A5" s="6" t="s">
        <v>70</v>
      </c>
      <c r="B5" s="6" t="s">
        <v>71</v>
      </c>
      <c r="C5" s="19" t="s">
        <v>20</v>
      </c>
      <c r="D5" s="7" t="s">
        <v>30</v>
      </c>
      <c r="E5" s="7" t="n">
        <f aca="false">COUNTIF(Calls!$A$2:$A$31,A5)</f>
        <v>2</v>
      </c>
      <c r="F5" s="7" t="n">
        <f aca="false">COUNTIFS(Calls!$A$2:$A$31,A5,Calls!$E$2:$E$31,"Read")</f>
        <v>1</v>
      </c>
      <c r="G5" s="7" t="n">
        <f aca="false">COUNTIFS(Calls!$A$2:$A$31,A5,Calls!$E$2:$E$31,"Write")</f>
        <v>1</v>
      </c>
      <c r="H5" s="6" t="s">
        <v>147</v>
      </c>
    </row>
    <row r="6" customFormat="false" ht="15" hidden="false" customHeight="false" outlineLevel="0" collapsed="false">
      <c r="A6" s="4" t="s">
        <v>83</v>
      </c>
      <c r="B6" s="4" t="s">
        <v>84</v>
      </c>
      <c r="C6" s="19" t="s">
        <v>20</v>
      </c>
      <c r="D6" s="5" t="s">
        <v>30</v>
      </c>
      <c r="E6" s="5" t="n">
        <f aca="false">COUNTIF(Calls!$A$2:$A$31,A6)</f>
        <v>2</v>
      </c>
      <c r="F6" s="5" t="n">
        <f aca="false">COUNTIFS(Calls!$A$2:$A$31,A6,Calls!$E$2:$E$31,"Read")</f>
        <v>1</v>
      </c>
      <c r="G6" s="5" t="n">
        <f aca="false">COUNTIFS(Calls!$A$2:$A$31,A6,Calls!$E$2:$E$31,"Write")</f>
        <v>1</v>
      </c>
      <c r="H6" s="4" t="s">
        <v>148</v>
      </c>
    </row>
    <row r="7" customFormat="false" ht="15" hidden="false" customHeight="false" outlineLevel="0" collapsed="false">
      <c r="A7" s="6" t="s">
        <v>99</v>
      </c>
      <c r="B7" s="6" t="s">
        <v>100</v>
      </c>
      <c r="C7" s="20" t="s">
        <v>21</v>
      </c>
      <c r="D7" s="7" t="s">
        <v>144</v>
      </c>
      <c r="E7" s="7" t="n">
        <f aca="false">COUNTIF(Calls!$A$2:$A$31,A7)</f>
        <v>2</v>
      </c>
      <c r="F7" s="7" t="n">
        <f aca="false">COUNTIFS(Calls!$A$2:$A$31,A7,Calls!$E$2:$E$31,"Read")</f>
        <v>1</v>
      </c>
      <c r="G7" s="7" t="n">
        <f aca="false">COUNTIFS(Calls!$A$2:$A$31,A7,Calls!$E$2:$E$31,"Write")</f>
        <v>1</v>
      </c>
      <c r="H7" s="6" t="s">
        <v>149</v>
      </c>
    </row>
    <row r="8" customFormat="false" ht="15" hidden="false" customHeight="false" outlineLevel="0" collapsed="false">
      <c r="A8" s="4" t="s">
        <v>105</v>
      </c>
      <c r="B8" s="4" t="s">
        <v>106</v>
      </c>
      <c r="C8" s="20" t="s">
        <v>21</v>
      </c>
      <c r="D8" s="5" t="s">
        <v>144</v>
      </c>
      <c r="E8" s="5" t="n">
        <f aca="false">COUNTIF(Calls!$A$2:$A$31,A8)</f>
        <v>2</v>
      </c>
      <c r="F8" s="5" t="n">
        <f aca="false">COUNTIFS(Calls!$A$2:$A$31,A8,Calls!$E$2:$E$31,"Read")</f>
        <v>1</v>
      </c>
      <c r="G8" s="5" t="n">
        <f aca="false">COUNTIFS(Calls!$A$2:$A$31,A8,Calls!$E$2:$E$31,"Write")</f>
        <v>1</v>
      </c>
      <c r="H8" s="4" t="s">
        <v>150</v>
      </c>
    </row>
    <row r="9" customFormat="false" ht="15" hidden="false" customHeight="false" outlineLevel="0" collapsed="false">
      <c r="A9" s="6" t="s">
        <v>125</v>
      </c>
      <c r="B9" s="6" t="s">
        <v>126</v>
      </c>
      <c r="C9" s="18" t="s">
        <v>22</v>
      </c>
      <c r="D9" s="7" t="s">
        <v>144</v>
      </c>
      <c r="E9" s="7" t="n">
        <f aca="false">COUNTIF(Calls!$A$2:$A$31,A9)</f>
        <v>2</v>
      </c>
      <c r="F9" s="7" t="n">
        <f aca="false">COUNTIFS(Calls!$A$2:$A$31,A9,Calls!$E$2:$E$31,"Read")</f>
        <v>1</v>
      </c>
      <c r="G9" s="7" t="n">
        <f aca="false">COUNTIFS(Calls!$A$2:$A$31,A9,Calls!$E$2:$E$31,"Write")</f>
        <v>1</v>
      </c>
      <c r="H9" s="6" t="s">
        <v>151</v>
      </c>
    </row>
    <row r="10" customFormat="false" ht="15" hidden="false" customHeight="false" outlineLevel="0" collapsed="false">
      <c r="A10" s="4" t="s">
        <v>118</v>
      </c>
      <c r="B10" s="4" t="s">
        <v>119</v>
      </c>
      <c r="C10" s="18" t="s">
        <v>22</v>
      </c>
      <c r="D10" s="5" t="s">
        <v>144</v>
      </c>
      <c r="E10" s="5" t="n">
        <f aca="false">COUNTIF(Calls!$A$2:$A$31,A10)</f>
        <v>2</v>
      </c>
      <c r="F10" s="5" t="n">
        <f aca="false">COUNTIFS(Calls!$A$2:$A$31,A10,Calls!$E$2:$E$31,"Read")</f>
        <v>1</v>
      </c>
      <c r="G10" s="5" t="n">
        <f aca="false">COUNTIFS(Calls!$A$2:$A$31,A10,Calls!$E$2:$E$31,"Write")</f>
        <v>1</v>
      </c>
      <c r="H10" s="4" t="s">
        <v>152</v>
      </c>
    </row>
    <row r="11" customFormat="false" ht="15" hidden="false" customHeight="false" outlineLevel="0" collapsed="false">
      <c r="A11" s="6" t="s">
        <v>78</v>
      </c>
      <c r="B11" s="6" t="s">
        <v>79</v>
      </c>
      <c r="C11" s="19" t="s">
        <v>20</v>
      </c>
      <c r="D11" s="7" t="s">
        <v>30</v>
      </c>
      <c r="E11" s="7" t="n">
        <f aca="false">COUNTIF(Calls!$A$2:$A$31,A11)</f>
        <v>1</v>
      </c>
      <c r="F11" s="7" t="n">
        <f aca="false">COUNTIFS(Calls!$A$2:$A$31,A11,Calls!$E$2:$E$31,"Read")</f>
        <v>0</v>
      </c>
      <c r="G11" s="7" t="n">
        <f aca="false">COUNTIFS(Calls!$A$2:$A$31,A11,Calls!$E$2:$E$31,"Write")</f>
        <v>1</v>
      </c>
      <c r="H11" s="6" t="s">
        <v>80</v>
      </c>
    </row>
    <row r="12" customFormat="false" ht="15" hidden="false" customHeight="false" outlineLevel="0" collapsed="false">
      <c r="A12" s="4" t="s">
        <v>56</v>
      </c>
      <c r="B12" s="4" t="s">
        <v>57</v>
      </c>
      <c r="C12" s="19" t="s">
        <v>20</v>
      </c>
      <c r="D12" s="5" t="s">
        <v>144</v>
      </c>
      <c r="E12" s="5" t="n">
        <f aca="false">COUNTIF(Calls!$A$2:$A$31,A12)</f>
        <v>1</v>
      </c>
      <c r="F12" s="5" t="n">
        <f aca="false">COUNTIFS(Calls!$A$2:$A$31,A12,Calls!$E$2:$E$31,"Read")</f>
        <v>1</v>
      </c>
      <c r="G12" s="5" t="n">
        <f aca="false">COUNTIFS(Calls!$A$2:$A$31,A12,Calls!$E$2:$E$31,"Write")</f>
        <v>0</v>
      </c>
      <c r="H12" s="4" t="s">
        <v>58</v>
      </c>
    </row>
    <row r="13" customFormat="false" ht="15" hidden="false" customHeight="false" outlineLevel="0" collapsed="false">
      <c r="A13" s="6" t="s">
        <v>52</v>
      </c>
      <c r="B13" s="6" t="s">
        <v>53</v>
      </c>
      <c r="C13" s="19" t="s">
        <v>20</v>
      </c>
      <c r="D13" s="7" t="s">
        <v>153</v>
      </c>
      <c r="E13" s="7" t="n">
        <f aca="false">COUNTIF(Calls!$A$2:$A$31,A13)</f>
        <v>1</v>
      </c>
      <c r="F13" s="7" t="n">
        <f aca="false">COUNTIFS(Calls!$A$2:$A$31,A13,Calls!$E$2:$E$31,"Read")</f>
        <v>1</v>
      </c>
      <c r="G13" s="7" t="n">
        <f aca="false">COUNTIFS(Calls!$A$2:$A$31,A13,Calls!$E$2:$E$31,"Write")</f>
        <v>0</v>
      </c>
      <c r="H13" s="6" t="s">
        <v>54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19" t="s">
        <v>20</v>
      </c>
      <c r="D14" s="5" t="s">
        <v>144</v>
      </c>
      <c r="E14" s="5" t="n">
        <f aca="false">COUNTIF(Calls!$A$2:$A$31,A14)</f>
        <v>1</v>
      </c>
      <c r="F14" s="5" t="n">
        <f aca="false">COUNTIFS(Calls!$A$2:$A$31,A14,Calls!$E$2:$E$31,"Read")</f>
        <v>1</v>
      </c>
      <c r="G14" s="5" t="n">
        <f aca="false">COUNTIFS(Calls!$A$2:$A$31,A14,Calls!$E$2:$E$31,"Write")</f>
        <v>0</v>
      </c>
      <c r="H14" s="4" t="s">
        <v>61</v>
      </c>
    </row>
    <row r="15" customFormat="false" ht="15" hidden="false" customHeight="false" outlineLevel="0" collapsed="false">
      <c r="A15" s="6" t="s">
        <v>96</v>
      </c>
      <c r="B15" s="6" t="s">
        <v>97</v>
      </c>
      <c r="C15" s="20" t="s">
        <v>21</v>
      </c>
      <c r="D15" s="7" t="s">
        <v>144</v>
      </c>
      <c r="E15" s="7" t="n">
        <f aca="false">COUNTIF(Calls!$A$2:$A$31,A15)</f>
        <v>1</v>
      </c>
      <c r="F15" s="7" t="n">
        <f aca="false">COUNTIFS(Calls!$A$2:$A$31,A15,Calls!$E$2:$E$31,"Read")</f>
        <v>0</v>
      </c>
      <c r="G15" s="7" t="n">
        <f aca="false">COUNTIFS(Calls!$A$2:$A$31,A15,Calls!$E$2:$E$31,"Write")</f>
        <v>1</v>
      </c>
      <c r="H15" s="6" t="s">
        <v>98</v>
      </c>
    </row>
    <row r="16" customFormat="false" ht="15" hidden="false" customHeight="false" outlineLevel="0" collapsed="false">
      <c r="A16" s="4" t="s">
        <v>92</v>
      </c>
      <c r="B16" s="4" t="s">
        <v>93</v>
      </c>
      <c r="C16" s="20" t="s">
        <v>21</v>
      </c>
      <c r="D16" s="5" t="s">
        <v>144</v>
      </c>
      <c r="E16" s="5" t="n">
        <f aca="false">COUNTIF(Calls!$A$2:$A$31,A16)</f>
        <v>1</v>
      </c>
      <c r="F16" s="5" t="n">
        <f aca="false">COUNTIFS(Calls!$A$2:$A$31,A16,Calls!$E$2:$E$31,"Read")</f>
        <v>1</v>
      </c>
      <c r="G16" s="5" t="n">
        <f aca="false">COUNTIFS(Calls!$A$2:$A$31,A16,Calls!$E$2:$E$31,"Write")</f>
        <v>0</v>
      </c>
      <c r="H16" s="4" t="s">
        <v>94</v>
      </c>
    </row>
    <row r="17" customFormat="false" ht="15" hidden="false" customHeight="false" outlineLevel="0" collapsed="false">
      <c r="A17" s="6" t="s">
        <v>89</v>
      </c>
      <c r="B17" s="6" t="s">
        <v>90</v>
      </c>
      <c r="C17" s="20" t="s">
        <v>21</v>
      </c>
      <c r="D17" s="7" t="s">
        <v>153</v>
      </c>
      <c r="E17" s="7" t="n">
        <f aca="false">COUNTIF(Calls!$A$2:$A$31,A17)</f>
        <v>1</v>
      </c>
      <c r="F17" s="7" t="n">
        <f aca="false">COUNTIFS(Calls!$A$2:$A$31,A17,Calls!$E$2:$E$31,"Read")</f>
        <v>1</v>
      </c>
      <c r="G17" s="7" t="n">
        <f aca="false">COUNTIFS(Calls!$A$2:$A$31,A17,Calls!$E$2:$E$31,"Write")</f>
        <v>0</v>
      </c>
      <c r="H17" s="6" t="s">
        <v>65</v>
      </c>
    </row>
    <row r="18" customFormat="false" ht="15" hidden="false" customHeight="false" outlineLevel="0" collapsed="false">
      <c r="A18" s="4" t="s">
        <v>115</v>
      </c>
      <c r="B18" s="4" t="s">
        <v>116</v>
      </c>
      <c r="C18" s="18" t="s">
        <v>22</v>
      </c>
      <c r="D18" s="5" t="s">
        <v>144</v>
      </c>
      <c r="E18" s="5" t="n">
        <f aca="false">COUNTIF(Calls!$A$2:$A$31,A18)</f>
        <v>1</v>
      </c>
      <c r="F18" s="5" t="n">
        <f aca="false">COUNTIFS(Calls!$A$2:$A$31,A18,Calls!$E$2:$E$31,"Read")</f>
        <v>1</v>
      </c>
      <c r="G18" s="5" t="n">
        <f aca="false">COUNTIFS(Calls!$A$2:$A$31,A18,Calls!$E$2:$E$31,"Write")</f>
        <v>0</v>
      </c>
      <c r="H18" s="4" t="s">
        <v>117</v>
      </c>
    </row>
    <row r="19" customFormat="false" ht="15" hidden="false" customHeight="false" outlineLevel="0" collapsed="false">
      <c r="A19" s="6" t="s">
        <v>111</v>
      </c>
      <c r="B19" s="6" t="s">
        <v>112</v>
      </c>
      <c r="C19" s="18" t="s">
        <v>22</v>
      </c>
      <c r="D19" s="7" t="s">
        <v>153</v>
      </c>
      <c r="E19" s="7" t="n">
        <f aca="false">COUNTIF(Calls!$A$2:$A$31,A19)</f>
        <v>1</v>
      </c>
      <c r="F19" s="7" t="n">
        <f aca="false">COUNTIFS(Calls!$A$2:$A$31,A19,Calls!$E$2:$E$31,"Read")</f>
        <v>1</v>
      </c>
      <c r="G19" s="7" t="n">
        <f aca="false">COUNTIFS(Calls!$A$2:$A$31,A19,Calls!$E$2:$E$31,"Write")</f>
        <v>0</v>
      </c>
      <c r="H19" s="6" t="s">
        <v>113</v>
      </c>
    </row>
    <row r="20" customFormat="false" ht="15" hidden="false" customHeight="false" outlineLevel="0" collapsed="false">
      <c r="A20" s="21" t="s">
        <v>23</v>
      </c>
      <c r="B20" s="21"/>
      <c r="C20" s="21"/>
      <c r="D20" s="21"/>
      <c r="E20" s="15" t="n">
        <f aca="false">SUM(E2:E19)</f>
        <v>30</v>
      </c>
      <c r="F20" s="15" t="n">
        <f aca="false">SUM(F2:F19)</f>
        <v>18</v>
      </c>
      <c r="G20" s="15" t="n">
        <f aca="false">SUM(G2:G19)</f>
        <v>12</v>
      </c>
      <c r="H20" s="21"/>
    </row>
    <row r="22" customFormat="false" ht="15" hidden="false" customHeight="false" outlineLevel="0" collapsed="false">
      <c r="A22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52"/>
  </cols>
  <sheetData>
    <row r="1" customFormat="false" ht="39.55" hidden="false" customHeight="false" outlineLevel="0" collapsed="false">
      <c r="A1" s="3" t="s">
        <v>32</v>
      </c>
      <c r="B1" s="3" t="s">
        <v>33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</row>
    <row r="2" customFormat="false" ht="26.85" hidden="false" customHeight="false" outlineLevel="0" collapsed="false">
      <c r="A2" s="4" t="s">
        <v>54</v>
      </c>
      <c r="B2" s="5" t="s">
        <v>40</v>
      </c>
      <c r="C2" s="5" t="s">
        <v>160</v>
      </c>
      <c r="D2" s="4" t="s">
        <v>161</v>
      </c>
      <c r="E2" s="4" t="s">
        <v>162</v>
      </c>
      <c r="F2" s="5" t="n">
        <f aca="false">COUNTIF(Calls!$D$2:$D$31,A2)</f>
        <v>2</v>
      </c>
      <c r="G2" s="4" t="s">
        <v>163</v>
      </c>
    </row>
    <row r="3" customFormat="false" ht="15" hidden="false" customHeight="false" outlineLevel="0" collapsed="false">
      <c r="A3" s="6" t="s">
        <v>65</v>
      </c>
      <c r="B3" s="7" t="s">
        <v>40</v>
      </c>
      <c r="C3" s="7" t="s">
        <v>21</v>
      </c>
      <c r="D3" s="6" t="s">
        <v>164</v>
      </c>
      <c r="E3" s="6" t="s">
        <v>165</v>
      </c>
      <c r="F3" s="7" t="n">
        <f aca="false">COUNTIF(Calls!$D$2:$D$31,A3)</f>
        <v>2</v>
      </c>
      <c r="G3" s="6" t="s">
        <v>166</v>
      </c>
    </row>
    <row r="4" customFormat="false" ht="15" hidden="false" customHeight="false" outlineLevel="0" collapsed="false">
      <c r="A4" s="4" t="s">
        <v>80</v>
      </c>
      <c r="B4" s="5" t="s">
        <v>49</v>
      </c>
      <c r="C4" s="5" t="s">
        <v>167</v>
      </c>
      <c r="D4" s="4" t="s">
        <v>168</v>
      </c>
      <c r="E4" s="4" t="s">
        <v>169</v>
      </c>
      <c r="F4" s="5" t="n">
        <f aca="false">COUNTIF(Calls!$D$2:$D$31,A4)</f>
        <v>1</v>
      </c>
      <c r="G4" s="4" t="s">
        <v>78</v>
      </c>
    </row>
    <row r="5" customFormat="false" ht="15" hidden="false" customHeight="false" outlineLevel="0" collapsed="false">
      <c r="A5" s="6" t="s">
        <v>39</v>
      </c>
      <c r="B5" s="7" t="s">
        <v>40</v>
      </c>
      <c r="C5" s="7" t="s">
        <v>167</v>
      </c>
      <c r="D5" s="6" t="s">
        <v>170</v>
      </c>
      <c r="E5" s="6" t="s">
        <v>171</v>
      </c>
      <c r="F5" s="7" t="n">
        <f aca="false">COUNTIF(Calls!$D$2:$D$31,A5)</f>
        <v>1</v>
      </c>
      <c r="G5" s="6" t="s">
        <v>37</v>
      </c>
    </row>
    <row r="6" customFormat="false" ht="15" hidden="false" customHeight="false" outlineLevel="0" collapsed="false">
      <c r="A6" s="4" t="s">
        <v>117</v>
      </c>
      <c r="B6" s="5" t="s">
        <v>40</v>
      </c>
      <c r="C6" s="5" t="s">
        <v>22</v>
      </c>
      <c r="D6" s="4" t="s">
        <v>172</v>
      </c>
      <c r="E6" s="4" t="s">
        <v>173</v>
      </c>
      <c r="F6" s="5" t="n">
        <f aca="false">COUNTIF(Calls!$D$2:$D$31,A6)</f>
        <v>1</v>
      </c>
      <c r="G6" s="4" t="s">
        <v>115</v>
      </c>
    </row>
    <row r="7" customFormat="false" ht="15" hidden="false" customHeight="false" outlineLevel="0" collapsed="false">
      <c r="A7" s="6" t="s">
        <v>120</v>
      </c>
      <c r="B7" s="7" t="s">
        <v>40</v>
      </c>
      <c r="C7" s="7" t="s">
        <v>22</v>
      </c>
      <c r="D7" s="6" t="s">
        <v>174</v>
      </c>
      <c r="E7" s="6" t="s">
        <v>175</v>
      </c>
      <c r="F7" s="7" t="n">
        <f aca="false">COUNTIF(Calls!$D$2:$D$31,A7)</f>
        <v>1</v>
      </c>
      <c r="G7" s="6" t="s">
        <v>118</v>
      </c>
    </row>
    <row r="8" customFormat="false" ht="15" hidden="false" customHeight="false" outlineLevel="0" collapsed="false">
      <c r="A8" s="4" t="s">
        <v>113</v>
      </c>
      <c r="B8" s="5" t="s">
        <v>40</v>
      </c>
      <c r="C8" s="5" t="s">
        <v>22</v>
      </c>
      <c r="D8" s="4" t="s">
        <v>176</v>
      </c>
      <c r="E8" s="4" t="s">
        <v>177</v>
      </c>
      <c r="F8" s="5" t="n">
        <f aca="false">COUNTIF(Calls!$D$2:$D$31,A8)</f>
        <v>1</v>
      </c>
      <c r="G8" s="4" t="s">
        <v>111</v>
      </c>
    </row>
    <row r="9" customFormat="false" ht="15" hidden="false" customHeight="false" outlineLevel="0" collapsed="false">
      <c r="A9" s="6" t="s">
        <v>127</v>
      </c>
      <c r="B9" s="7" t="s">
        <v>40</v>
      </c>
      <c r="C9" s="7" t="s">
        <v>22</v>
      </c>
      <c r="D9" s="6" t="s">
        <v>178</v>
      </c>
      <c r="E9" s="6" t="s">
        <v>179</v>
      </c>
      <c r="F9" s="7" t="n">
        <f aca="false">COUNTIF(Calls!$D$2:$D$31,A9)</f>
        <v>1</v>
      </c>
      <c r="G9" s="6" t="s">
        <v>125</v>
      </c>
    </row>
    <row r="10" customFormat="false" ht="15" hidden="false" customHeight="false" outlineLevel="0" collapsed="false">
      <c r="A10" s="4" t="s">
        <v>128</v>
      </c>
      <c r="B10" s="5" t="s">
        <v>49</v>
      </c>
      <c r="C10" s="5" t="s">
        <v>22</v>
      </c>
      <c r="D10" s="4" t="s">
        <v>180</v>
      </c>
      <c r="E10" s="4" t="s">
        <v>181</v>
      </c>
      <c r="F10" s="5" t="n">
        <f aca="false">COUNTIF(Calls!$D$2:$D$31,A10)</f>
        <v>1</v>
      </c>
      <c r="G10" s="4" t="s">
        <v>125</v>
      </c>
    </row>
    <row r="11" customFormat="false" ht="15" hidden="false" customHeight="false" outlineLevel="0" collapsed="false">
      <c r="A11" s="6" t="s">
        <v>122</v>
      </c>
      <c r="B11" s="7" t="s">
        <v>49</v>
      </c>
      <c r="C11" s="7" t="s">
        <v>22</v>
      </c>
      <c r="D11" s="6" t="s">
        <v>182</v>
      </c>
      <c r="E11" s="6" t="s">
        <v>183</v>
      </c>
      <c r="F11" s="7" t="n">
        <f aca="false">COUNTIF(Calls!$D$2:$D$31,A11)</f>
        <v>1</v>
      </c>
      <c r="G11" s="6" t="s">
        <v>118</v>
      </c>
    </row>
    <row r="12" customFormat="false" ht="15" hidden="false" customHeight="false" outlineLevel="0" collapsed="false">
      <c r="A12" s="4" t="s">
        <v>46</v>
      </c>
      <c r="B12" s="5" t="s">
        <v>40</v>
      </c>
      <c r="C12" s="5" t="s">
        <v>184</v>
      </c>
      <c r="D12" s="4" t="s">
        <v>185</v>
      </c>
      <c r="E12" s="4" t="s">
        <v>186</v>
      </c>
      <c r="F12" s="5" t="n">
        <f aca="false">COUNTIF(Calls!$D$2:$D$31,A12)</f>
        <v>1</v>
      </c>
      <c r="G12" s="4" t="s">
        <v>37</v>
      </c>
    </row>
    <row r="13" customFormat="false" ht="15" hidden="false" customHeight="false" outlineLevel="0" collapsed="false">
      <c r="A13" s="6" t="s">
        <v>48</v>
      </c>
      <c r="B13" s="7" t="s">
        <v>49</v>
      </c>
      <c r="C13" s="7" t="s">
        <v>184</v>
      </c>
      <c r="D13" s="6" t="s">
        <v>187</v>
      </c>
      <c r="E13" s="6" t="s">
        <v>188</v>
      </c>
      <c r="F13" s="7" t="n">
        <f aca="false">COUNTIF(Calls!$D$2:$D$31,A13)</f>
        <v>1</v>
      </c>
      <c r="G13" s="6" t="s">
        <v>37</v>
      </c>
    </row>
    <row r="14" customFormat="false" ht="15" hidden="false" customHeight="false" outlineLevel="0" collapsed="false">
      <c r="A14" s="4" t="s">
        <v>135</v>
      </c>
      <c r="B14" s="5" t="s">
        <v>49</v>
      </c>
      <c r="C14" s="5" t="s">
        <v>189</v>
      </c>
      <c r="D14" s="4" t="s">
        <v>190</v>
      </c>
      <c r="E14" s="4" t="s">
        <v>191</v>
      </c>
      <c r="F14" s="5" t="n">
        <f aca="false">COUNTIF(Calls!$D$2:$D$31,A14)</f>
        <v>1</v>
      </c>
      <c r="G14" s="4" t="s">
        <v>131</v>
      </c>
    </row>
    <row r="15" customFormat="false" ht="15" hidden="false" customHeight="false" outlineLevel="0" collapsed="false">
      <c r="A15" s="6" t="s">
        <v>137</v>
      </c>
      <c r="B15" s="7" t="s">
        <v>49</v>
      </c>
      <c r="C15" s="7" t="s">
        <v>189</v>
      </c>
      <c r="D15" s="6" t="s">
        <v>192</v>
      </c>
      <c r="E15" s="6" t="s">
        <v>193</v>
      </c>
      <c r="F15" s="7" t="n">
        <f aca="false">COUNTIF(Calls!$D$2:$D$31,A15)</f>
        <v>1</v>
      </c>
      <c r="G15" s="6" t="s">
        <v>131</v>
      </c>
    </row>
    <row r="16" customFormat="false" ht="15" hidden="false" customHeight="false" outlineLevel="0" collapsed="false">
      <c r="A16" s="4" t="s">
        <v>133</v>
      </c>
      <c r="B16" s="5" t="s">
        <v>40</v>
      </c>
      <c r="C16" s="5" t="s">
        <v>189</v>
      </c>
      <c r="D16" s="4" t="s">
        <v>194</v>
      </c>
      <c r="E16" s="4" t="s">
        <v>195</v>
      </c>
      <c r="F16" s="5" t="n">
        <f aca="false">COUNTIF(Calls!$D$2:$D$31,A16)</f>
        <v>1</v>
      </c>
      <c r="G16" s="4" t="s">
        <v>131</v>
      </c>
    </row>
    <row r="17" customFormat="false" ht="15" hidden="false" customHeight="false" outlineLevel="0" collapsed="false">
      <c r="A17" s="6" t="s">
        <v>72</v>
      </c>
      <c r="B17" s="7" t="s">
        <v>40</v>
      </c>
      <c r="C17" s="7" t="s">
        <v>189</v>
      </c>
      <c r="D17" s="6" t="s">
        <v>196</v>
      </c>
      <c r="E17" s="6" t="s">
        <v>197</v>
      </c>
      <c r="F17" s="7" t="n">
        <f aca="false">COUNTIF(Calls!$D$2:$D$31,A17)</f>
        <v>1</v>
      </c>
      <c r="G17" s="6" t="s">
        <v>70</v>
      </c>
    </row>
    <row r="18" customFormat="false" ht="15" hidden="false" customHeight="false" outlineLevel="0" collapsed="false">
      <c r="A18" s="4" t="s">
        <v>58</v>
      </c>
      <c r="B18" s="5" t="s">
        <v>40</v>
      </c>
      <c r="C18" s="5" t="s">
        <v>198</v>
      </c>
      <c r="D18" s="4" t="s">
        <v>199</v>
      </c>
      <c r="E18" s="4" t="s">
        <v>200</v>
      </c>
      <c r="F18" s="5" t="n">
        <f aca="false">COUNTIF(Calls!$D$2:$D$31,A18)</f>
        <v>1</v>
      </c>
      <c r="G18" s="4" t="s">
        <v>56</v>
      </c>
    </row>
    <row r="19" customFormat="false" ht="15" hidden="false" customHeight="false" outlineLevel="0" collapsed="false">
      <c r="A19" s="6" t="s">
        <v>75</v>
      </c>
      <c r="B19" s="7" t="s">
        <v>49</v>
      </c>
      <c r="C19" s="7" t="s">
        <v>198</v>
      </c>
      <c r="D19" s="6" t="s">
        <v>201</v>
      </c>
      <c r="E19" s="6" t="s">
        <v>202</v>
      </c>
      <c r="F19" s="7" t="n">
        <f aca="false">COUNTIF(Calls!$D$2:$D$31,A19)</f>
        <v>1</v>
      </c>
      <c r="G19" s="6" t="s">
        <v>70</v>
      </c>
    </row>
    <row r="20" customFormat="false" ht="15" hidden="false" customHeight="false" outlineLevel="0" collapsed="false">
      <c r="A20" s="4" t="s">
        <v>61</v>
      </c>
      <c r="B20" s="5" t="s">
        <v>40</v>
      </c>
      <c r="C20" s="5" t="s">
        <v>160</v>
      </c>
      <c r="D20" s="4" t="s">
        <v>203</v>
      </c>
      <c r="E20" s="4" t="s">
        <v>204</v>
      </c>
      <c r="F20" s="5" t="n">
        <f aca="false">COUNTIF(Calls!$D$2:$D$31,A20)</f>
        <v>1</v>
      </c>
      <c r="G20" s="4" t="s">
        <v>59</v>
      </c>
    </row>
    <row r="21" customFormat="false" ht="15" hidden="false" customHeight="false" outlineLevel="0" collapsed="false">
      <c r="A21" s="6" t="s">
        <v>85</v>
      </c>
      <c r="B21" s="7" t="s">
        <v>49</v>
      </c>
      <c r="C21" s="7" t="s">
        <v>205</v>
      </c>
      <c r="D21" s="6" t="s">
        <v>206</v>
      </c>
      <c r="E21" s="6" t="s">
        <v>207</v>
      </c>
      <c r="F21" s="7" t="n">
        <f aca="false">COUNTIF(Calls!$D$2:$D$31,A21)</f>
        <v>1</v>
      </c>
      <c r="G21" s="6" t="s">
        <v>83</v>
      </c>
    </row>
    <row r="22" customFormat="false" ht="15" hidden="false" customHeight="false" outlineLevel="0" collapsed="false">
      <c r="A22" s="4" t="s">
        <v>44</v>
      </c>
      <c r="B22" s="5" t="s">
        <v>40</v>
      </c>
      <c r="C22" s="5" t="s">
        <v>205</v>
      </c>
      <c r="D22" s="4" t="s">
        <v>208</v>
      </c>
      <c r="E22" s="4" t="s">
        <v>209</v>
      </c>
      <c r="F22" s="5" t="n">
        <f aca="false">COUNTIF(Calls!$D$2:$D$31,A22)</f>
        <v>1</v>
      </c>
      <c r="G22" s="4" t="s">
        <v>37</v>
      </c>
    </row>
    <row r="23" customFormat="false" ht="15" hidden="false" customHeight="false" outlineLevel="0" collapsed="false">
      <c r="A23" s="6" t="s">
        <v>98</v>
      </c>
      <c r="B23" s="7" t="s">
        <v>49</v>
      </c>
      <c r="C23" s="7" t="s">
        <v>21</v>
      </c>
      <c r="D23" s="6" t="s">
        <v>210</v>
      </c>
      <c r="E23" s="6" t="s">
        <v>211</v>
      </c>
      <c r="F23" s="7" t="n">
        <f aca="false">COUNTIF(Calls!$D$2:$D$31,A23)</f>
        <v>1</v>
      </c>
      <c r="G23" s="6" t="s">
        <v>96</v>
      </c>
    </row>
    <row r="24" customFormat="false" ht="15" hidden="false" customHeight="false" outlineLevel="0" collapsed="false">
      <c r="A24" s="4" t="s">
        <v>67</v>
      </c>
      <c r="B24" s="5" t="s">
        <v>49</v>
      </c>
      <c r="C24" s="5" t="s">
        <v>21</v>
      </c>
      <c r="D24" s="4" t="s">
        <v>212</v>
      </c>
      <c r="E24" s="4" t="s">
        <v>213</v>
      </c>
      <c r="F24" s="5" t="n">
        <f aca="false">COUNTIF(Calls!$D$2:$D$31,A24)</f>
        <v>1</v>
      </c>
      <c r="G24" s="4" t="s">
        <v>63</v>
      </c>
    </row>
    <row r="25" customFormat="false" ht="15" hidden="false" customHeight="false" outlineLevel="0" collapsed="false">
      <c r="A25" s="6" t="s">
        <v>94</v>
      </c>
      <c r="B25" s="7" t="s">
        <v>40</v>
      </c>
      <c r="C25" s="7" t="s">
        <v>21</v>
      </c>
      <c r="D25" s="6" t="s">
        <v>214</v>
      </c>
      <c r="E25" s="6" t="s">
        <v>215</v>
      </c>
      <c r="F25" s="7" t="n">
        <f aca="false">COUNTIF(Calls!$D$2:$D$31,A25)</f>
        <v>1</v>
      </c>
      <c r="G25" s="6" t="s">
        <v>92</v>
      </c>
    </row>
    <row r="26" customFormat="false" ht="15" hidden="false" customHeight="false" outlineLevel="0" collapsed="false">
      <c r="A26" s="4" t="s">
        <v>107</v>
      </c>
      <c r="B26" s="5" t="s">
        <v>40</v>
      </c>
      <c r="C26" s="5" t="s">
        <v>21</v>
      </c>
      <c r="D26" s="4" t="s">
        <v>216</v>
      </c>
      <c r="E26" s="4" t="s">
        <v>217</v>
      </c>
      <c r="F26" s="5" t="n">
        <f aca="false">COUNTIF(Calls!$D$2:$D$31,A26)</f>
        <v>1</v>
      </c>
      <c r="G26" s="4" t="s">
        <v>105</v>
      </c>
    </row>
    <row r="27" customFormat="false" ht="15" hidden="false" customHeight="false" outlineLevel="0" collapsed="false">
      <c r="A27" s="6" t="s">
        <v>101</v>
      </c>
      <c r="B27" s="7" t="s">
        <v>40</v>
      </c>
      <c r="C27" s="7" t="s">
        <v>21</v>
      </c>
      <c r="D27" s="6" t="s">
        <v>218</v>
      </c>
      <c r="E27" s="6" t="s">
        <v>219</v>
      </c>
      <c r="F27" s="7" t="n">
        <f aca="false">COUNTIF(Calls!$D$2:$D$31,A27)</f>
        <v>1</v>
      </c>
      <c r="G27" s="6" t="s">
        <v>99</v>
      </c>
    </row>
    <row r="28" customFormat="false" ht="15" hidden="false" customHeight="false" outlineLevel="0" collapsed="false">
      <c r="A28" s="4" t="s">
        <v>103</v>
      </c>
      <c r="B28" s="5" t="s">
        <v>49</v>
      </c>
      <c r="C28" s="5" t="s">
        <v>21</v>
      </c>
      <c r="D28" s="4" t="s">
        <v>220</v>
      </c>
      <c r="E28" s="4" t="s">
        <v>221</v>
      </c>
      <c r="F28" s="5" t="n">
        <f aca="false">COUNTIF(Calls!$D$2:$D$31,A28)</f>
        <v>1</v>
      </c>
      <c r="G28" s="4" t="s">
        <v>99</v>
      </c>
    </row>
    <row r="29" customFormat="false" ht="15" hidden="false" customHeight="false" outlineLevel="0" collapsed="false">
      <c r="A29" s="6" t="s">
        <v>109</v>
      </c>
      <c r="B29" s="7" t="s">
        <v>49</v>
      </c>
      <c r="C29" s="7" t="s">
        <v>21</v>
      </c>
      <c r="D29" s="6" t="s">
        <v>222</v>
      </c>
      <c r="E29" s="6" t="s">
        <v>223</v>
      </c>
      <c r="F29" s="7" t="n">
        <f aca="false">COUNTIF(Calls!$D$2:$D$31,A29)</f>
        <v>1</v>
      </c>
      <c r="G29" s="6" t="s">
        <v>105</v>
      </c>
    </row>
    <row r="30" customFormat="false" ht="26.85" hidden="false" customHeight="false" outlineLevel="0" collapsed="false">
      <c r="A30" s="4" t="s">
        <v>224</v>
      </c>
      <c r="B30" s="5" t="s">
        <v>49</v>
      </c>
      <c r="C30" s="5" t="s">
        <v>225</v>
      </c>
      <c r="D30" s="4" t="s">
        <v>226</v>
      </c>
      <c r="E30" s="4" t="s">
        <v>227</v>
      </c>
      <c r="F30" s="5" t="n">
        <f aca="false">COUNTIF(Calls!$D$2:$D$31,A30)</f>
        <v>0</v>
      </c>
      <c r="G30" s="4" t="s">
        <v>228</v>
      </c>
    </row>
    <row r="31" customFormat="false" ht="15" hidden="false" customHeight="false" outlineLevel="0" collapsed="false">
      <c r="A31" s="6" t="s">
        <v>229</v>
      </c>
      <c r="B31" s="7" t="s">
        <v>40</v>
      </c>
      <c r="C31" s="7" t="s">
        <v>230</v>
      </c>
      <c r="D31" s="6" t="s">
        <v>231</v>
      </c>
      <c r="E31" s="6" t="s">
        <v>232</v>
      </c>
      <c r="F31" s="7" t="n">
        <f aca="false">COUNTIF(Calls!$D$2:$D$31,A31)</f>
        <v>0</v>
      </c>
      <c r="G31" s="6" t="s">
        <v>228</v>
      </c>
    </row>
  </sheetData>
  <autoFilter ref="A1:G31"/>
  <conditionalFormatting sqref="F2:F31">
    <cfRule type="cellIs" priority="2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9" min="2" style="0" width="4.5"/>
    <col collapsed="false" customWidth="true" hidden="false" outlineLevel="0" max="30" min="30" style="0" width="11"/>
  </cols>
  <sheetData>
    <row r="1" customFormat="false" ht="124.5" hidden="false" customHeight="true" outlineLevel="0" collapsed="false">
      <c r="A1" s="22" t="s">
        <v>233</v>
      </c>
      <c r="B1" s="23" t="s">
        <v>54</v>
      </c>
      <c r="C1" s="23" t="s">
        <v>65</v>
      </c>
      <c r="D1" s="23" t="s">
        <v>80</v>
      </c>
      <c r="E1" s="23" t="s">
        <v>39</v>
      </c>
      <c r="F1" s="23" t="s">
        <v>117</v>
      </c>
      <c r="G1" s="23" t="s">
        <v>120</v>
      </c>
      <c r="H1" s="23" t="s">
        <v>113</v>
      </c>
      <c r="I1" s="23" t="s">
        <v>127</v>
      </c>
      <c r="J1" s="23" t="s">
        <v>128</v>
      </c>
      <c r="K1" s="23" t="s">
        <v>122</v>
      </c>
      <c r="L1" s="23" t="s">
        <v>46</v>
      </c>
      <c r="M1" s="23" t="s">
        <v>48</v>
      </c>
      <c r="N1" s="23" t="s">
        <v>135</v>
      </c>
      <c r="O1" s="23" t="s">
        <v>137</v>
      </c>
      <c r="P1" s="23" t="s">
        <v>133</v>
      </c>
      <c r="Q1" s="23" t="s">
        <v>72</v>
      </c>
      <c r="R1" s="23" t="s">
        <v>58</v>
      </c>
      <c r="S1" s="23" t="s">
        <v>75</v>
      </c>
      <c r="T1" s="23" t="s">
        <v>61</v>
      </c>
      <c r="U1" s="23" t="s">
        <v>85</v>
      </c>
      <c r="V1" s="23" t="s">
        <v>44</v>
      </c>
      <c r="W1" s="23" t="s">
        <v>98</v>
      </c>
      <c r="X1" s="23" t="s">
        <v>67</v>
      </c>
      <c r="Y1" s="23" t="s">
        <v>94</v>
      </c>
      <c r="Z1" s="23" t="s">
        <v>107</v>
      </c>
      <c r="AA1" s="23" t="s">
        <v>101</v>
      </c>
      <c r="AB1" s="23" t="s">
        <v>103</v>
      </c>
      <c r="AC1" s="23" t="s">
        <v>109</v>
      </c>
      <c r="AD1" s="22" t="s">
        <v>234</v>
      </c>
    </row>
    <row r="2" customFormat="false" ht="15" hidden="false" customHeight="false" outlineLevel="0" collapsed="false">
      <c r="A2" s="24" t="s">
        <v>37</v>
      </c>
      <c r="B2" s="25" t="str">
        <f aca="false">IF(COUNTIFS(Calls!$A$2:$A$31,$A2,Calls!$D$2:$D$31,B$1)&gt;0,1,"")</f>
        <v/>
      </c>
      <c r="C2" s="25" t="str">
        <f aca="false">IF(COUNTIFS(Calls!$A$2:$A$31,$A2,Calls!$D$2:$D$31,C$1)&gt;0,1,"")</f>
        <v/>
      </c>
      <c r="D2" s="25" t="str">
        <f aca="false">IF(COUNTIFS(Calls!$A$2:$A$31,$A2,Calls!$D$2:$D$31,D$1)&gt;0,1,"")</f>
        <v/>
      </c>
      <c r="E2" s="25" t="n">
        <f aca="false">IF(COUNTIFS(Calls!$A$2:$A$31,$A2,Calls!$D$2:$D$31,E$1)&gt;0,1,"")</f>
        <v>1</v>
      </c>
      <c r="F2" s="25" t="str">
        <f aca="false">IF(COUNTIFS(Calls!$A$2:$A$31,$A2,Calls!$D$2:$D$31,F$1)&gt;0,1,"")</f>
        <v/>
      </c>
      <c r="G2" s="25" t="str">
        <f aca="false">IF(COUNTIFS(Calls!$A$2:$A$31,$A2,Calls!$D$2:$D$31,G$1)&gt;0,1,"")</f>
        <v/>
      </c>
      <c r="H2" s="25" t="str">
        <f aca="false">IF(COUNTIFS(Calls!$A$2:$A$31,$A2,Calls!$D$2:$D$31,H$1)&gt;0,1,"")</f>
        <v/>
      </c>
      <c r="I2" s="25" t="str">
        <f aca="false">IF(COUNTIFS(Calls!$A$2:$A$31,$A2,Calls!$D$2:$D$31,I$1)&gt;0,1,"")</f>
        <v/>
      </c>
      <c r="J2" s="25" t="str">
        <f aca="false">IF(COUNTIFS(Calls!$A$2:$A$31,$A2,Calls!$D$2:$D$31,J$1)&gt;0,1,"")</f>
        <v/>
      </c>
      <c r="K2" s="25" t="str">
        <f aca="false">IF(COUNTIFS(Calls!$A$2:$A$31,$A2,Calls!$D$2:$D$31,K$1)&gt;0,1,"")</f>
        <v/>
      </c>
      <c r="L2" s="25" t="n">
        <f aca="false">IF(COUNTIFS(Calls!$A$2:$A$31,$A2,Calls!$D$2:$D$31,L$1)&gt;0,1,"")</f>
        <v>1</v>
      </c>
      <c r="M2" s="25" t="n">
        <f aca="false">IF(COUNTIFS(Calls!$A$2:$A$31,$A2,Calls!$D$2:$D$31,M$1)&gt;0,1,"")</f>
        <v>1</v>
      </c>
      <c r="N2" s="25" t="str">
        <f aca="false">IF(COUNTIFS(Calls!$A$2:$A$31,$A2,Calls!$D$2:$D$31,N$1)&gt;0,1,"")</f>
        <v/>
      </c>
      <c r="O2" s="25" t="str">
        <f aca="false">IF(COUNTIFS(Calls!$A$2:$A$31,$A2,Calls!$D$2:$D$31,O$1)&gt;0,1,"")</f>
        <v/>
      </c>
      <c r="P2" s="25" t="str">
        <f aca="false">IF(COUNTIFS(Calls!$A$2:$A$31,$A2,Calls!$D$2:$D$31,P$1)&gt;0,1,"")</f>
        <v/>
      </c>
      <c r="Q2" s="25" t="str">
        <f aca="false">IF(COUNTIFS(Calls!$A$2:$A$31,$A2,Calls!$D$2:$D$31,Q$1)&gt;0,1,"")</f>
        <v/>
      </c>
      <c r="R2" s="25" t="str">
        <f aca="false">IF(COUNTIFS(Calls!$A$2:$A$31,$A2,Calls!$D$2:$D$31,R$1)&gt;0,1,"")</f>
        <v/>
      </c>
      <c r="S2" s="25" t="str">
        <f aca="false">IF(COUNTIFS(Calls!$A$2:$A$31,$A2,Calls!$D$2:$D$31,S$1)&gt;0,1,"")</f>
        <v/>
      </c>
      <c r="T2" s="25" t="str">
        <f aca="false">IF(COUNTIFS(Calls!$A$2:$A$31,$A2,Calls!$D$2:$D$31,T$1)&gt;0,1,"")</f>
        <v/>
      </c>
      <c r="U2" s="25" t="str">
        <f aca="false">IF(COUNTIFS(Calls!$A$2:$A$31,$A2,Calls!$D$2:$D$31,U$1)&gt;0,1,"")</f>
        <v/>
      </c>
      <c r="V2" s="25" t="n">
        <f aca="false">IF(COUNTIFS(Calls!$A$2:$A$31,$A2,Calls!$D$2:$D$31,V$1)&gt;0,1,"")</f>
        <v>1</v>
      </c>
      <c r="W2" s="25" t="str">
        <f aca="false">IF(COUNTIFS(Calls!$A$2:$A$31,$A2,Calls!$D$2:$D$31,W$1)&gt;0,1,"")</f>
        <v/>
      </c>
      <c r="X2" s="25" t="str">
        <f aca="false">IF(COUNTIFS(Calls!$A$2:$A$31,$A2,Calls!$D$2:$D$31,X$1)&gt;0,1,"")</f>
        <v/>
      </c>
      <c r="Y2" s="25" t="str">
        <f aca="false">IF(COUNTIFS(Calls!$A$2:$A$31,$A2,Calls!$D$2:$D$31,Y$1)&gt;0,1,"")</f>
        <v/>
      </c>
      <c r="Z2" s="25" t="str">
        <f aca="false">IF(COUNTIFS(Calls!$A$2:$A$31,$A2,Calls!$D$2:$D$31,Z$1)&gt;0,1,"")</f>
        <v/>
      </c>
      <c r="AA2" s="25" t="str">
        <f aca="false">IF(COUNTIFS(Calls!$A$2:$A$31,$A2,Calls!$D$2:$D$31,AA$1)&gt;0,1,"")</f>
        <v/>
      </c>
      <c r="AB2" s="25" t="str">
        <f aca="false">IF(COUNTIFS(Calls!$A$2:$A$31,$A2,Calls!$D$2:$D$31,AB$1)&gt;0,1,"")</f>
        <v/>
      </c>
      <c r="AC2" s="25" t="str">
        <f aca="false">IF(COUNTIFS(Calls!$A$2:$A$31,$A2,Calls!$D$2:$D$31,AC$1)&gt;0,1,"")</f>
        <v/>
      </c>
      <c r="AD2" s="26" t="n">
        <f aca="false">SUM(B2:AC2)</f>
        <v>4</v>
      </c>
    </row>
    <row r="3" customFormat="false" ht="15" hidden="false" customHeight="false" outlineLevel="0" collapsed="false">
      <c r="A3" s="24" t="s">
        <v>131</v>
      </c>
      <c r="B3" s="25" t="str">
        <f aca="false">IF(COUNTIFS(Calls!$A$2:$A$31,$A3,Calls!$D$2:$D$31,B$1)&gt;0,1,"")</f>
        <v/>
      </c>
      <c r="C3" s="25" t="str">
        <f aca="false">IF(COUNTIFS(Calls!$A$2:$A$31,$A3,Calls!$D$2:$D$31,C$1)&gt;0,1,"")</f>
        <v/>
      </c>
      <c r="D3" s="25" t="str">
        <f aca="false">IF(COUNTIFS(Calls!$A$2:$A$31,$A3,Calls!$D$2:$D$31,D$1)&gt;0,1,"")</f>
        <v/>
      </c>
      <c r="E3" s="25" t="str">
        <f aca="false">IF(COUNTIFS(Calls!$A$2:$A$31,$A3,Calls!$D$2:$D$31,E$1)&gt;0,1,"")</f>
        <v/>
      </c>
      <c r="F3" s="25" t="str">
        <f aca="false">IF(COUNTIFS(Calls!$A$2:$A$31,$A3,Calls!$D$2:$D$31,F$1)&gt;0,1,"")</f>
        <v/>
      </c>
      <c r="G3" s="25" t="str">
        <f aca="false">IF(COUNTIFS(Calls!$A$2:$A$31,$A3,Calls!$D$2:$D$31,G$1)&gt;0,1,"")</f>
        <v/>
      </c>
      <c r="H3" s="25" t="str">
        <f aca="false">IF(COUNTIFS(Calls!$A$2:$A$31,$A3,Calls!$D$2:$D$31,H$1)&gt;0,1,"")</f>
        <v/>
      </c>
      <c r="I3" s="25" t="str">
        <f aca="false">IF(COUNTIFS(Calls!$A$2:$A$31,$A3,Calls!$D$2:$D$31,I$1)&gt;0,1,"")</f>
        <v/>
      </c>
      <c r="J3" s="25" t="str">
        <f aca="false">IF(COUNTIFS(Calls!$A$2:$A$31,$A3,Calls!$D$2:$D$31,J$1)&gt;0,1,"")</f>
        <v/>
      </c>
      <c r="K3" s="25" t="str">
        <f aca="false">IF(COUNTIFS(Calls!$A$2:$A$31,$A3,Calls!$D$2:$D$31,K$1)&gt;0,1,"")</f>
        <v/>
      </c>
      <c r="L3" s="25" t="str">
        <f aca="false">IF(COUNTIFS(Calls!$A$2:$A$31,$A3,Calls!$D$2:$D$31,L$1)&gt;0,1,"")</f>
        <v/>
      </c>
      <c r="M3" s="25" t="str">
        <f aca="false">IF(COUNTIFS(Calls!$A$2:$A$31,$A3,Calls!$D$2:$D$31,M$1)&gt;0,1,"")</f>
        <v/>
      </c>
      <c r="N3" s="25" t="n">
        <f aca="false">IF(COUNTIFS(Calls!$A$2:$A$31,$A3,Calls!$D$2:$D$31,N$1)&gt;0,1,"")</f>
        <v>1</v>
      </c>
      <c r="O3" s="25" t="n">
        <f aca="false">IF(COUNTIFS(Calls!$A$2:$A$31,$A3,Calls!$D$2:$D$31,O$1)&gt;0,1,"")</f>
        <v>1</v>
      </c>
      <c r="P3" s="25" t="n">
        <f aca="false">IF(COUNTIFS(Calls!$A$2:$A$31,$A3,Calls!$D$2:$D$31,P$1)&gt;0,1,"")</f>
        <v>1</v>
      </c>
      <c r="Q3" s="25" t="str">
        <f aca="false">IF(COUNTIFS(Calls!$A$2:$A$31,$A3,Calls!$D$2:$D$31,Q$1)&gt;0,1,"")</f>
        <v/>
      </c>
      <c r="R3" s="25" t="str">
        <f aca="false">IF(COUNTIFS(Calls!$A$2:$A$31,$A3,Calls!$D$2:$D$31,R$1)&gt;0,1,"")</f>
        <v/>
      </c>
      <c r="S3" s="25" t="str">
        <f aca="false">IF(COUNTIFS(Calls!$A$2:$A$31,$A3,Calls!$D$2:$D$31,S$1)&gt;0,1,"")</f>
        <v/>
      </c>
      <c r="T3" s="25" t="str">
        <f aca="false">IF(COUNTIFS(Calls!$A$2:$A$31,$A3,Calls!$D$2:$D$31,T$1)&gt;0,1,"")</f>
        <v/>
      </c>
      <c r="U3" s="25" t="str">
        <f aca="false">IF(COUNTIFS(Calls!$A$2:$A$31,$A3,Calls!$D$2:$D$31,U$1)&gt;0,1,"")</f>
        <v/>
      </c>
      <c r="V3" s="25" t="str">
        <f aca="false">IF(COUNTIFS(Calls!$A$2:$A$31,$A3,Calls!$D$2:$D$31,V$1)&gt;0,1,"")</f>
        <v/>
      </c>
      <c r="W3" s="25" t="str">
        <f aca="false">IF(COUNTIFS(Calls!$A$2:$A$31,$A3,Calls!$D$2:$D$31,W$1)&gt;0,1,"")</f>
        <v/>
      </c>
      <c r="X3" s="25" t="str">
        <f aca="false">IF(COUNTIFS(Calls!$A$2:$A$31,$A3,Calls!$D$2:$D$31,X$1)&gt;0,1,"")</f>
        <v/>
      </c>
      <c r="Y3" s="25" t="str">
        <f aca="false">IF(COUNTIFS(Calls!$A$2:$A$31,$A3,Calls!$D$2:$D$31,Y$1)&gt;0,1,"")</f>
        <v/>
      </c>
      <c r="Z3" s="25" t="str">
        <f aca="false">IF(COUNTIFS(Calls!$A$2:$A$31,$A3,Calls!$D$2:$D$31,Z$1)&gt;0,1,"")</f>
        <v/>
      </c>
      <c r="AA3" s="25" t="str">
        <f aca="false">IF(COUNTIFS(Calls!$A$2:$A$31,$A3,Calls!$D$2:$D$31,AA$1)&gt;0,1,"")</f>
        <v/>
      </c>
      <c r="AB3" s="25" t="str">
        <f aca="false">IF(COUNTIFS(Calls!$A$2:$A$31,$A3,Calls!$D$2:$D$31,AB$1)&gt;0,1,"")</f>
        <v/>
      </c>
      <c r="AC3" s="25" t="str">
        <f aca="false">IF(COUNTIFS(Calls!$A$2:$A$31,$A3,Calls!$D$2:$D$31,AC$1)&gt;0,1,"")</f>
        <v/>
      </c>
      <c r="AD3" s="26" t="n">
        <f aca="false">SUM(B3:AC3)</f>
        <v>3</v>
      </c>
    </row>
    <row r="4" customFormat="false" ht="15" hidden="false" customHeight="false" outlineLevel="0" collapsed="false">
      <c r="A4" s="24" t="s">
        <v>63</v>
      </c>
      <c r="B4" s="25" t="str">
        <f aca="false">IF(COUNTIFS(Calls!$A$2:$A$31,$A4,Calls!$D$2:$D$31,B$1)&gt;0,1,"")</f>
        <v/>
      </c>
      <c r="C4" s="25" t="n">
        <f aca="false">IF(COUNTIFS(Calls!$A$2:$A$31,$A4,Calls!$D$2:$D$31,C$1)&gt;0,1,"")</f>
        <v>1</v>
      </c>
      <c r="D4" s="25" t="str">
        <f aca="false">IF(COUNTIFS(Calls!$A$2:$A$31,$A4,Calls!$D$2:$D$31,D$1)&gt;0,1,"")</f>
        <v/>
      </c>
      <c r="E4" s="25" t="str">
        <f aca="false">IF(COUNTIFS(Calls!$A$2:$A$31,$A4,Calls!$D$2:$D$31,E$1)&gt;0,1,"")</f>
        <v/>
      </c>
      <c r="F4" s="25" t="str">
        <f aca="false">IF(COUNTIFS(Calls!$A$2:$A$31,$A4,Calls!$D$2:$D$31,F$1)&gt;0,1,"")</f>
        <v/>
      </c>
      <c r="G4" s="25" t="str">
        <f aca="false">IF(COUNTIFS(Calls!$A$2:$A$31,$A4,Calls!$D$2:$D$31,G$1)&gt;0,1,"")</f>
        <v/>
      </c>
      <c r="H4" s="25" t="str">
        <f aca="false">IF(COUNTIFS(Calls!$A$2:$A$31,$A4,Calls!$D$2:$D$31,H$1)&gt;0,1,"")</f>
        <v/>
      </c>
      <c r="I4" s="25" t="str">
        <f aca="false">IF(COUNTIFS(Calls!$A$2:$A$31,$A4,Calls!$D$2:$D$31,I$1)&gt;0,1,"")</f>
        <v/>
      </c>
      <c r="J4" s="25" t="str">
        <f aca="false">IF(COUNTIFS(Calls!$A$2:$A$31,$A4,Calls!$D$2:$D$31,J$1)&gt;0,1,"")</f>
        <v/>
      </c>
      <c r="K4" s="25" t="str">
        <f aca="false">IF(COUNTIFS(Calls!$A$2:$A$31,$A4,Calls!$D$2:$D$31,K$1)&gt;0,1,"")</f>
        <v/>
      </c>
      <c r="L4" s="25" t="str">
        <f aca="false">IF(COUNTIFS(Calls!$A$2:$A$31,$A4,Calls!$D$2:$D$31,L$1)&gt;0,1,"")</f>
        <v/>
      </c>
      <c r="M4" s="25" t="str">
        <f aca="false">IF(COUNTIFS(Calls!$A$2:$A$31,$A4,Calls!$D$2:$D$31,M$1)&gt;0,1,"")</f>
        <v/>
      </c>
      <c r="N4" s="25" t="str">
        <f aca="false">IF(COUNTIFS(Calls!$A$2:$A$31,$A4,Calls!$D$2:$D$31,N$1)&gt;0,1,"")</f>
        <v/>
      </c>
      <c r="O4" s="25" t="str">
        <f aca="false">IF(COUNTIFS(Calls!$A$2:$A$31,$A4,Calls!$D$2:$D$31,O$1)&gt;0,1,"")</f>
        <v/>
      </c>
      <c r="P4" s="25" t="str">
        <f aca="false">IF(COUNTIFS(Calls!$A$2:$A$31,$A4,Calls!$D$2:$D$31,P$1)&gt;0,1,"")</f>
        <v/>
      </c>
      <c r="Q4" s="25" t="str">
        <f aca="false">IF(COUNTIFS(Calls!$A$2:$A$31,$A4,Calls!$D$2:$D$31,Q$1)&gt;0,1,"")</f>
        <v/>
      </c>
      <c r="R4" s="25" t="str">
        <f aca="false">IF(COUNTIFS(Calls!$A$2:$A$31,$A4,Calls!$D$2:$D$31,R$1)&gt;0,1,"")</f>
        <v/>
      </c>
      <c r="S4" s="25" t="str">
        <f aca="false">IF(COUNTIFS(Calls!$A$2:$A$31,$A4,Calls!$D$2:$D$31,S$1)&gt;0,1,"")</f>
        <v/>
      </c>
      <c r="T4" s="25" t="str">
        <f aca="false">IF(COUNTIFS(Calls!$A$2:$A$31,$A4,Calls!$D$2:$D$31,T$1)&gt;0,1,"")</f>
        <v/>
      </c>
      <c r="U4" s="25" t="str">
        <f aca="false">IF(COUNTIFS(Calls!$A$2:$A$31,$A4,Calls!$D$2:$D$31,U$1)&gt;0,1,"")</f>
        <v/>
      </c>
      <c r="V4" s="25" t="str">
        <f aca="false">IF(COUNTIFS(Calls!$A$2:$A$31,$A4,Calls!$D$2:$D$31,V$1)&gt;0,1,"")</f>
        <v/>
      </c>
      <c r="W4" s="25" t="str">
        <f aca="false">IF(COUNTIFS(Calls!$A$2:$A$31,$A4,Calls!$D$2:$D$31,W$1)&gt;0,1,"")</f>
        <v/>
      </c>
      <c r="X4" s="25" t="n">
        <f aca="false">IF(COUNTIFS(Calls!$A$2:$A$31,$A4,Calls!$D$2:$D$31,X$1)&gt;0,1,"")</f>
        <v>1</v>
      </c>
      <c r="Y4" s="25" t="str">
        <f aca="false">IF(COUNTIFS(Calls!$A$2:$A$31,$A4,Calls!$D$2:$D$31,Y$1)&gt;0,1,"")</f>
        <v/>
      </c>
      <c r="Z4" s="25" t="str">
        <f aca="false">IF(COUNTIFS(Calls!$A$2:$A$31,$A4,Calls!$D$2:$D$31,Z$1)&gt;0,1,"")</f>
        <v/>
      </c>
      <c r="AA4" s="25" t="str">
        <f aca="false">IF(COUNTIFS(Calls!$A$2:$A$31,$A4,Calls!$D$2:$D$31,AA$1)&gt;0,1,"")</f>
        <v/>
      </c>
      <c r="AB4" s="25" t="str">
        <f aca="false">IF(COUNTIFS(Calls!$A$2:$A$31,$A4,Calls!$D$2:$D$31,AB$1)&gt;0,1,"")</f>
        <v/>
      </c>
      <c r="AC4" s="25" t="str">
        <f aca="false">IF(COUNTIFS(Calls!$A$2:$A$31,$A4,Calls!$D$2:$D$31,AC$1)&gt;0,1,"")</f>
        <v/>
      </c>
      <c r="AD4" s="26" t="n">
        <f aca="false">SUM(B4:AC4)</f>
        <v>2</v>
      </c>
    </row>
    <row r="5" customFormat="false" ht="15" hidden="false" customHeight="false" outlineLevel="0" collapsed="false">
      <c r="A5" s="24" t="s">
        <v>70</v>
      </c>
      <c r="B5" s="25" t="str">
        <f aca="false">IF(COUNTIFS(Calls!$A$2:$A$31,$A5,Calls!$D$2:$D$31,B$1)&gt;0,1,"")</f>
        <v/>
      </c>
      <c r="C5" s="25" t="str">
        <f aca="false">IF(COUNTIFS(Calls!$A$2:$A$31,$A5,Calls!$D$2:$D$31,C$1)&gt;0,1,"")</f>
        <v/>
      </c>
      <c r="D5" s="25" t="str">
        <f aca="false">IF(COUNTIFS(Calls!$A$2:$A$31,$A5,Calls!$D$2:$D$31,D$1)&gt;0,1,"")</f>
        <v/>
      </c>
      <c r="E5" s="25" t="str">
        <f aca="false">IF(COUNTIFS(Calls!$A$2:$A$31,$A5,Calls!$D$2:$D$31,E$1)&gt;0,1,"")</f>
        <v/>
      </c>
      <c r="F5" s="25" t="str">
        <f aca="false">IF(COUNTIFS(Calls!$A$2:$A$31,$A5,Calls!$D$2:$D$31,F$1)&gt;0,1,"")</f>
        <v/>
      </c>
      <c r="G5" s="25" t="str">
        <f aca="false">IF(COUNTIFS(Calls!$A$2:$A$31,$A5,Calls!$D$2:$D$31,G$1)&gt;0,1,"")</f>
        <v/>
      </c>
      <c r="H5" s="25" t="str">
        <f aca="false">IF(COUNTIFS(Calls!$A$2:$A$31,$A5,Calls!$D$2:$D$31,H$1)&gt;0,1,"")</f>
        <v/>
      </c>
      <c r="I5" s="25" t="str">
        <f aca="false">IF(COUNTIFS(Calls!$A$2:$A$31,$A5,Calls!$D$2:$D$31,I$1)&gt;0,1,"")</f>
        <v/>
      </c>
      <c r="J5" s="25" t="str">
        <f aca="false">IF(COUNTIFS(Calls!$A$2:$A$31,$A5,Calls!$D$2:$D$31,J$1)&gt;0,1,"")</f>
        <v/>
      </c>
      <c r="K5" s="25" t="str">
        <f aca="false">IF(COUNTIFS(Calls!$A$2:$A$31,$A5,Calls!$D$2:$D$31,K$1)&gt;0,1,"")</f>
        <v/>
      </c>
      <c r="L5" s="25" t="str">
        <f aca="false">IF(COUNTIFS(Calls!$A$2:$A$31,$A5,Calls!$D$2:$D$31,L$1)&gt;0,1,"")</f>
        <v/>
      </c>
      <c r="M5" s="25" t="str">
        <f aca="false">IF(COUNTIFS(Calls!$A$2:$A$31,$A5,Calls!$D$2:$D$31,M$1)&gt;0,1,"")</f>
        <v/>
      </c>
      <c r="N5" s="25" t="str">
        <f aca="false">IF(COUNTIFS(Calls!$A$2:$A$31,$A5,Calls!$D$2:$D$31,N$1)&gt;0,1,"")</f>
        <v/>
      </c>
      <c r="O5" s="25" t="str">
        <f aca="false">IF(COUNTIFS(Calls!$A$2:$A$31,$A5,Calls!$D$2:$D$31,O$1)&gt;0,1,"")</f>
        <v/>
      </c>
      <c r="P5" s="25" t="str">
        <f aca="false">IF(COUNTIFS(Calls!$A$2:$A$31,$A5,Calls!$D$2:$D$31,P$1)&gt;0,1,"")</f>
        <v/>
      </c>
      <c r="Q5" s="25" t="n">
        <f aca="false">IF(COUNTIFS(Calls!$A$2:$A$31,$A5,Calls!$D$2:$D$31,Q$1)&gt;0,1,"")</f>
        <v>1</v>
      </c>
      <c r="R5" s="25" t="str">
        <f aca="false">IF(COUNTIFS(Calls!$A$2:$A$31,$A5,Calls!$D$2:$D$31,R$1)&gt;0,1,"")</f>
        <v/>
      </c>
      <c r="S5" s="25" t="n">
        <f aca="false">IF(COUNTIFS(Calls!$A$2:$A$31,$A5,Calls!$D$2:$D$31,S$1)&gt;0,1,"")</f>
        <v>1</v>
      </c>
      <c r="T5" s="25" t="str">
        <f aca="false">IF(COUNTIFS(Calls!$A$2:$A$31,$A5,Calls!$D$2:$D$31,T$1)&gt;0,1,"")</f>
        <v/>
      </c>
      <c r="U5" s="25" t="str">
        <f aca="false">IF(COUNTIFS(Calls!$A$2:$A$31,$A5,Calls!$D$2:$D$31,U$1)&gt;0,1,"")</f>
        <v/>
      </c>
      <c r="V5" s="25" t="str">
        <f aca="false">IF(COUNTIFS(Calls!$A$2:$A$31,$A5,Calls!$D$2:$D$31,V$1)&gt;0,1,"")</f>
        <v/>
      </c>
      <c r="W5" s="25" t="str">
        <f aca="false">IF(COUNTIFS(Calls!$A$2:$A$31,$A5,Calls!$D$2:$D$31,W$1)&gt;0,1,"")</f>
        <v/>
      </c>
      <c r="X5" s="25" t="str">
        <f aca="false">IF(COUNTIFS(Calls!$A$2:$A$31,$A5,Calls!$D$2:$D$31,X$1)&gt;0,1,"")</f>
        <v/>
      </c>
      <c r="Y5" s="25" t="str">
        <f aca="false">IF(COUNTIFS(Calls!$A$2:$A$31,$A5,Calls!$D$2:$D$31,Y$1)&gt;0,1,"")</f>
        <v/>
      </c>
      <c r="Z5" s="25" t="str">
        <f aca="false">IF(COUNTIFS(Calls!$A$2:$A$31,$A5,Calls!$D$2:$D$31,Z$1)&gt;0,1,"")</f>
        <v/>
      </c>
      <c r="AA5" s="25" t="str">
        <f aca="false">IF(COUNTIFS(Calls!$A$2:$A$31,$A5,Calls!$D$2:$D$31,AA$1)&gt;0,1,"")</f>
        <v/>
      </c>
      <c r="AB5" s="25" t="str">
        <f aca="false">IF(COUNTIFS(Calls!$A$2:$A$31,$A5,Calls!$D$2:$D$31,AB$1)&gt;0,1,"")</f>
        <v/>
      </c>
      <c r="AC5" s="25" t="str">
        <f aca="false">IF(COUNTIFS(Calls!$A$2:$A$31,$A5,Calls!$D$2:$D$31,AC$1)&gt;0,1,"")</f>
        <v/>
      </c>
      <c r="AD5" s="26" t="n">
        <f aca="false">SUM(B5:AC5)</f>
        <v>2</v>
      </c>
    </row>
    <row r="6" customFormat="false" ht="15" hidden="false" customHeight="false" outlineLevel="0" collapsed="false">
      <c r="A6" s="24" t="s">
        <v>83</v>
      </c>
      <c r="B6" s="25" t="n">
        <f aca="false">IF(COUNTIFS(Calls!$A$2:$A$31,$A6,Calls!$D$2:$D$31,B$1)&gt;0,1,"")</f>
        <v>1</v>
      </c>
      <c r="C6" s="25" t="str">
        <f aca="false">IF(COUNTIFS(Calls!$A$2:$A$31,$A6,Calls!$D$2:$D$31,C$1)&gt;0,1,"")</f>
        <v/>
      </c>
      <c r="D6" s="25" t="str">
        <f aca="false">IF(COUNTIFS(Calls!$A$2:$A$31,$A6,Calls!$D$2:$D$31,D$1)&gt;0,1,"")</f>
        <v/>
      </c>
      <c r="E6" s="25" t="str">
        <f aca="false">IF(COUNTIFS(Calls!$A$2:$A$31,$A6,Calls!$D$2:$D$31,E$1)&gt;0,1,"")</f>
        <v/>
      </c>
      <c r="F6" s="25" t="str">
        <f aca="false">IF(COUNTIFS(Calls!$A$2:$A$31,$A6,Calls!$D$2:$D$31,F$1)&gt;0,1,"")</f>
        <v/>
      </c>
      <c r="G6" s="25" t="str">
        <f aca="false">IF(COUNTIFS(Calls!$A$2:$A$31,$A6,Calls!$D$2:$D$31,G$1)&gt;0,1,"")</f>
        <v/>
      </c>
      <c r="H6" s="25" t="str">
        <f aca="false">IF(COUNTIFS(Calls!$A$2:$A$31,$A6,Calls!$D$2:$D$31,H$1)&gt;0,1,"")</f>
        <v/>
      </c>
      <c r="I6" s="25" t="str">
        <f aca="false">IF(COUNTIFS(Calls!$A$2:$A$31,$A6,Calls!$D$2:$D$31,I$1)&gt;0,1,"")</f>
        <v/>
      </c>
      <c r="J6" s="25" t="str">
        <f aca="false">IF(COUNTIFS(Calls!$A$2:$A$31,$A6,Calls!$D$2:$D$31,J$1)&gt;0,1,"")</f>
        <v/>
      </c>
      <c r="K6" s="25" t="str">
        <f aca="false">IF(COUNTIFS(Calls!$A$2:$A$31,$A6,Calls!$D$2:$D$31,K$1)&gt;0,1,"")</f>
        <v/>
      </c>
      <c r="L6" s="25" t="str">
        <f aca="false">IF(COUNTIFS(Calls!$A$2:$A$31,$A6,Calls!$D$2:$D$31,L$1)&gt;0,1,"")</f>
        <v/>
      </c>
      <c r="M6" s="25" t="str">
        <f aca="false">IF(COUNTIFS(Calls!$A$2:$A$31,$A6,Calls!$D$2:$D$31,M$1)&gt;0,1,"")</f>
        <v/>
      </c>
      <c r="N6" s="25" t="str">
        <f aca="false">IF(COUNTIFS(Calls!$A$2:$A$31,$A6,Calls!$D$2:$D$31,N$1)&gt;0,1,"")</f>
        <v/>
      </c>
      <c r="O6" s="25" t="str">
        <f aca="false">IF(COUNTIFS(Calls!$A$2:$A$31,$A6,Calls!$D$2:$D$31,O$1)&gt;0,1,"")</f>
        <v/>
      </c>
      <c r="P6" s="25" t="str">
        <f aca="false">IF(COUNTIFS(Calls!$A$2:$A$31,$A6,Calls!$D$2:$D$31,P$1)&gt;0,1,"")</f>
        <v/>
      </c>
      <c r="Q6" s="25" t="str">
        <f aca="false">IF(COUNTIFS(Calls!$A$2:$A$31,$A6,Calls!$D$2:$D$31,Q$1)&gt;0,1,"")</f>
        <v/>
      </c>
      <c r="R6" s="25" t="str">
        <f aca="false">IF(COUNTIFS(Calls!$A$2:$A$31,$A6,Calls!$D$2:$D$31,R$1)&gt;0,1,"")</f>
        <v/>
      </c>
      <c r="S6" s="25" t="str">
        <f aca="false">IF(COUNTIFS(Calls!$A$2:$A$31,$A6,Calls!$D$2:$D$31,S$1)&gt;0,1,"")</f>
        <v/>
      </c>
      <c r="T6" s="25" t="str">
        <f aca="false">IF(COUNTIFS(Calls!$A$2:$A$31,$A6,Calls!$D$2:$D$31,T$1)&gt;0,1,"")</f>
        <v/>
      </c>
      <c r="U6" s="25" t="n">
        <f aca="false">IF(COUNTIFS(Calls!$A$2:$A$31,$A6,Calls!$D$2:$D$31,U$1)&gt;0,1,"")</f>
        <v>1</v>
      </c>
      <c r="V6" s="25" t="str">
        <f aca="false">IF(COUNTIFS(Calls!$A$2:$A$31,$A6,Calls!$D$2:$D$31,V$1)&gt;0,1,"")</f>
        <v/>
      </c>
      <c r="W6" s="25" t="str">
        <f aca="false">IF(COUNTIFS(Calls!$A$2:$A$31,$A6,Calls!$D$2:$D$31,W$1)&gt;0,1,"")</f>
        <v/>
      </c>
      <c r="X6" s="25" t="str">
        <f aca="false">IF(COUNTIFS(Calls!$A$2:$A$31,$A6,Calls!$D$2:$D$31,X$1)&gt;0,1,"")</f>
        <v/>
      </c>
      <c r="Y6" s="25" t="str">
        <f aca="false">IF(COUNTIFS(Calls!$A$2:$A$31,$A6,Calls!$D$2:$D$31,Y$1)&gt;0,1,"")</f>
        <v/>
      </c>
      <c r="Z6" s="25" t="str">
        <f aca="false">IF(COUNTIFS(Calls!$A$2:$A$31,$A6,Calls!$D$2:$D$31,Z$1)&gt;0,1,"")</f>
        <v/>
      </c>
      <c r="AA6" s="25" t="str">
        <f aca="false">IF(COUNTIFS(Calls!$A$2:$A$31,$A6,Calls!$D$2:$D$31,AA$1)&gt;0,1,"")</f>
        <v/>
      </c>
      <c r="AB6" s="25" t="str">
        <f aca="false">IF(COUNTIFS(Calls!$A$2:$A$31,$A6,Calls!$D$2:$D$31,AB$1)&gt;0,1,"")</f>
        <v/>
      </c>
      <c r="AC6" s="25" t="str">
        <f aca="false">IF(COUNTIFS(Calls!$A$2:$A$31,$A6,Calls!$D$2:$D$31,AC$1)&gt;0,1,"")</f>
        <v/>
      </c>
      <c r="AD6" s="26" t="n">
        <f aca="false">SUM(B6:AC6)</f>
        <v>2</v>
      </c>
    </row>
    <row r="7" customFormat="false" ht="15" hidden="false" customHeight="false" outlineLevel="0" collapsed="false">
      <c r="A7" s="24" t="s">
        <v>99</v>
      </c>
      <c r="B7" s="25" t="str">
        <f aca="false">IF(COUNTIFS(Calls!$A$2:$A$31,$A7,Calls!$D$2:$D$31,B$1)&gt;0,1,"")</f>
        <v/>
      </c>
      <c r="C7" s="25" t="str">
        <f aca="false">IF(COUNTIFS(Calls!$A$2:$A$31,$A7,Calls!$D$2:$D$31,C$1)&gt;0,1,"")</f>
        <v/>
      </c>
      <c r="D7" s="25" t="str">
        <f aca="false">IF(COUNTIFS(Calls!$A$2:$A$31,$A7,Calls!$D$2:$D$31,D$1)&gt;0,1,"")</f>
        <v/>
      </c>
      <c r="E7" s="25" t="str">
        <f aca="false">IF(COUNTIFS(Calls!$A$2:$A$31,$A7,Calls!$D$2:$D$31,E$1)&gt;0,1,"")</f>
        <v/>
      </c>
      <c r="F7" s="25" t="str">
        <f aca="false">IF(COUNTIFS(Calls!$A$2:$A$31,$A7,Calls!$D$2:$D$31,F$1)&gt;0,1,"")</f>
        <v/>
      </c>
      <c r="G7" s="25" t="str">
        <f aca="false">IF(COUNTIFS(Calls!$A$2:$A$31,$A7,Calls!$D$2:$D$31,G$1)&gt;0,1,"")</f>
        <v/>
      </c>
      <c r="H7" s="25" t="str">
        <f aca="false">IF(COUNTIFS(Calls!$A$2:$A$31,$A7,Calls!$D$2:$D$31,H$1)&gt;0,1,"")</f>
        <v/>
      </c>
      <c r="I7" s="25" t="str">
        <f aca="false">IF(COUNTIFS(Calls!$A$2:$A$31,$A7,Calls!$D$2:$D$31,I$1)&gt;0,1,"")</f>
        <v/>
      </c>
      <c r="J7" s="25" t="str">
        <f aca="false">IF(COUNTIFS(Calls!$A$2:$A$31,$A7,Calls!$D$2:$D$31,J$1)&gt;0,1,"")</f>
        <v/>
      </c>
      <c r="K7" s="25" t="str">
        <f aca="false">IF(COUNTIFS(Calls!$A$2:$A$31,$A7,Calls!$D$2:$D$31,K$1)&gt;0,1,"")</f>
        <v/>
      </c>
      <c r="L7" s="25" t="str">
        <f aca="false">IF(COUNTIFS(Calls!$A$2:$A$31,$A7,Calls!$D$2:$D$31,L$1)&gt;0,1,"")</f>
        <v/>
      </c>
      <c r="M7" s="25" t="str">
        <f aca="false">IF(COUNTIFS(Calls!$A$2:$A$31,$A7,Calls!$D$2:$D$31,M$1)&gt;0,1,"")</f>
        <v/>
      </c>
      <c r="N7" s="25" t="str">
        <f aca="false">IF(COUNTIFS(Calls!$A$2:$A$31,$A7,Calls!$D$2:$D$31,N$1)&gt;0,1,"")</f>
        <v/>
      </c>
      <c r="O7" s="25" t="str">
        <f aca="false">IF(COUNTIFS(Calls!$A$2:$A$31,$A7,Calls!$D$2:$D$31,O$1)&gt;0,1,"")</f>
        <v/>
      </c>
      <c r="P7" s="25" t="str">
        <f aca="false">IF(COUNTIFS(Calls!$A$2:$A$31,$A7,Calls!$D$2:$D$31,P$1)&gt;0,1,"")</f>
        <v/>
      </c>
      <c r="Q7" s="25" t="str">
        <f aca="false">IF(COUNTIFS(Calls!$A$2:$A$31,$A7,Calls!$D$2:$D$31,Q$1)&gt;0,1,"")</f>
        <v/>
      </c>
      <c r="R7" s="25" t="str">
        <f aca="false">IF(COUNTIFS(Calls!$A$2:$A$31,$A7,Calls!$D$2:$D$31,R$1)&gt;0,1,"")</f>
        <v/>
      </c>
      <c r="S7" s="25" t="str">
        <f aca="false">IF(COUNTIFS(Calls!$A$2:$A$31,$A7,Calls!$D$2:$D$31,S$1)&gt;0,1,"")</f>
        <v/>
      </c>
      <c r="T7" s="25" t="str">
        <f aca="false">IF(COUNTIFS(Calls!$A$2:$A$31,$A7,Calls!$D$2:$D$31,T$1)&gt;0,1,"")</f>
        <v/>
      </c>
      <c r="U7" s="25" t="str">
        <f aca="false">IF(COUNTIFS(Calls!$A$2:$A$31,$A7,Calls!$D$2:$D$31,U$1)&gt;0,1,"")</f>
        <v/>
      </c>
      <c r="V7" s="25" t="str">
        <f aca="false">IF(COUNTIFS(Calls!$A$2:$A$31,$A7,Calls!$D$2:$D$31,V$1)&gt;0,1,"")</f>
        <v/>
      </c>
      <c r="W7" s="25" t="str">
        <f aca="false">IF(COUNTIFS(Calls!$A$2:$A$31,$A7,Calls!$D$2:$D$31,W$1)&gt;0,1,"")</f>
        <v/>
      </c>
      <c r="X7" s="25" t="str">
        <f aca="false">IF(COUNTIFS(Calls!$A$2:$A$31,$A7,Calls!$D$2:$D$31,X$1)&gt;0,1,"")</f>
        <v/>
      </c>
      <c r="Y7" s="25" t="str">
        <f aca="false">IF(COUNTIFS(Calls!$A$2:$A$31,$A7,Calls!$D$2:$D$31,Y$1)&gt;0,1,"")</f>
        <v/>
      </c>
      <c r="Z7" s="25" t="str">
        <f aca="false">IF(COUNTIFS(Calls!$A$2:$A$31,$A7,Calls!$D$2:$D$31,Z$1)&gt;0,1,"")</f>
        <v/>
      </c>
      <c r="AA7" s="25" t="n">
        <f aca="false">IF(COUNTIFS(Calls!$A$2:$A$31,$A7,Calls!$D$2:$D$31,AA$1)&gt;0,1,"")</f>
        <v>1</v>
      </c>
      <c r="AB7" s="25" t="n">
        <f aca="false">IF(COUNTIFS(Calls!$A$2:$A$31,$A7,Calls!$D$2:$D$31,AB$1)&gt;0,1,"")</f>
        <v>1</v>
      </c>
      <c r="AC7" s="25" t="str">
        <f aca="false">IF(COUNTIFS(Calls!$A$2:$A$31,$A7,Calls!$D$2:$D$31,AC$1)&gt;0,1,"")</f>
        <v/>
      </c>
      <c r="AD7" s="26" t="n">
        <f aca="false">SUM(B7:AC7)</f>
        <v>2</v>
      </c>
    </row>
    <row r="8" customFormat="false" ht="15" hidden="false" customHeight="false" outlineLevel="0" collapsed="false">
      <c r="A8" s="24" t="s">
        <v>105</v>
      </c>
      <c r="B8" s="25" t="str">
        <f aca="false">IF(COUNTIFS(Calls!$A$2:$A$31,$A8,Calls!$D$2:$D$31,B$1)&gt;0,1,"")</f>
        <v/>
      </c>
      <c r="C8" s="25" t="str">
        <f aca="false">IF(COUNTIFS(Calls!$A$2:$A$31,$A8,Calls!$D$2:$D$31,C$1)&gt;0,1,"")</f>
        <v/>
      </c>
      <c r="D8" s="25" t="str">
        <f aca="false">IF(COUNTIFS(Calls!$A$2:$A$31,$A8,Calls!$D$2:$D$31,D$1)&gt;0,1,"")</f>
        <v/>
      </c>
      <c r="E8" s="25" t="str">
        <f aca="false">IF(COUNTIFS(Calls!$A$2:$A$31,$A8,Calls!$D$2:$D$31,E$1)&gt;0,1,"")</f>
        <v/>
      </c>
      <c r="F8" s="25" t="str">
        <f aca="false">IF(COUNTIFS(Calls!$A$2:$A$31,$A8,Calls!$D$2:$D$31,F$1)&gt;0,1,"")</f>
        <v/>
      </c>
      <c r="G8" s="25" t="str">
        <f aca="false">IF(COUNTIFS(Calls!$A$2:$A$31,$A8,Calls!$D$2:$D$31,G$1)&gt;0,1,"")</f>
        <v/>
      </c>
      <c r="H8" s="25" t="str">
        <f aca="false">IF(COUNTIFS(Calls!$A$2:$A$31,$A8,Calls!$D$2:$D$31,H$1)&gt;0,1,"")</f>
        <v/>
      </c>
      <c r="I8" s="25" t="str">
        <f aca="false">IF(COUNTIFS(Calls!$A$2:$A$31,$A8,Calls!$D$2:$D$31,I$1)&gt;0,1,"")</f>
        <v/>
      </c>
      <c r="J8" s="25" t="str">
        <f aca="false">IF(COUNTIFS(Calls!$A$2:$A$31,$A8,Calls!$D$2:$D$31,J$1)&gt;0,1,"")</f>
        <v/>
      </c>
      <c r="K8" s="25" t="str">
        <f aca="false">IF(COUNTIFS(Calls!$A$2:$A$31,$A8,Calls!$D$2:$D$31,K$1)&gt;0,1,"")</f>
        <v/>
      </c>
      <c r="L8" s="25" t="str">
        <f aca="false">IF(COUNTIFS(Calls!$A$2:$A$31,$A8,Calls!$D$2:$D$31,L$1)&gt;0,1,"")</f>
        <v/>
      </c>
      <c r="M8" s="25" t="str">
        <f aca="false">IF(COUNTIFS(Calls!$A$2:$A$31,$A8,Calls!$D$2:$D$31,M$1)&gt;0,1,"")</f>
        <v/>
      </c>
      <c r="N8" s="25" t="str">
        <f aca="false">IF(COUNTIFS(Calls!$A$2:$A$31,$A8,Calls!$D$2:$D$31,N$1)&gt;0,1,"")</f>
        <v/>
      </c>
      <c r="O8" s="25" t="str">
        <f aca="false">IF(COUNTIFS(Calls!$A$2:$A$31,$A8,Calls!$D$2:$D$31,O$1)&gt;0,1,"")</f>
        <v/>
      </c>
      <c r="P8" s="25" t="str">
        <f aca="false">IF(COUNTIFS(Calls!$A$2:$A$31,$A8,Calls!$D$2:$D$31,P$1)&gt;0,1,"")</f>
        <v/>
      </c>
      <c r="Q8" s="25" t="str">
        <f aca="false">IF(COUNTIFS(Calls!$A$2:$A$31,$A8,Calls!$D$2:$D$31,Q$1)&gt;0,1,"")</f>
        <v/>
      </c>
      <c r="R8" s="25" t="str">
        <f aca="false">IF(COUNTIFS(Calls!$A$2:$A$31,$A8,Calls!$D$2:$D$31,R$1)&gt;0,1,"")</f>
        <v/>
      </c>
      <c r="S8" s="25" t="str">
        <f aca="false">IF(COUNTIFS(Calls!$A$2:$A$31,$A8,Calls!$D$2:$D$31,S$1)&gt;0,1,"")</f>
        <v/>
      </c>
      <c r="T8" s="25" t="str">
        <f aca="false">IF(COUNTIFS(Calls!$A$2:$A$31,$A8,Calls!$D$2:$D$31,T$1)&gt;0,1,"")</f>
        <v/>
      </c>
      <c r="U8" s="25" t="str">
        <f aca="false">IF(COUNTIFS(Calls!$A$2:$A$31,$A8,Calls!$D$2:$D$31,U$1)&gt;0,1,"")</f>
        <v/>
      </c>
      <c r="V8" s="25" t="str">
        <f aca="false">IF(COUNTIFS(Calls!$A$2:$A$31,$A8,Calls!$D$2:$D$31,V$1)&gt;0,1,"")</f>
        <v/>
      </c>
      <c r="W8" s="25" t="str">
        <f aca="false">IF(COUNTIFS(Calls!$A$2:$A$31,$A8,Calls!$D$2:$D$31,W$1)&gt;0,1,"")</f>
        <v/>
      </c>
      <c r="X8" s="25" t="str">
        <f aca="false">IF(COUNTIFS(Calls!$A$2:$A$31,$A8,Calls!$D$2:$D$31,X$1)&gt;0,1,"")</f>
        <v/>
      </c>
      <c r="Y8" s="25" t="str">
        <f aca="false">IF(COUNTIFS(Calls!$A$2:$A$31,$A8,Calls!$D$2:$D$31,Y$1)&gt;0,1,"")</f>
        <v/>
      </c>
      <c r="Z8" s="25" t="n">
        <f aca="false">IF(COUNTIFS(Calls!$A$2:$A$31,$A8,Calls!$D$2:$D$31,Z$1)&gt;0,1,"")</f>
        <v>1</v>
      </c>
      <c r="AA8" s="25" t="str">
        <f aca="false">IF(COUNTIFS(Calls!$A$2:$A$31,$A8,Calls!$D$2:$D$31,AA$1)&gt;0,1,"")</f>
        <v/>
      </c>
      <c r="AB8" s="25" t="str">
        <f aca="false">IF(COUNTIFS(Calls!$A$2:$A$31,$A8,Calls!$D$2:$D$31,AB$1)&gt;0,1,"")</f>
        <v/>
      </c>
      <c r="AC8" s="25" t="n">
        <f aca="false">IF(COUNTIFS(Calls!$A$2:$A$31,$A8,Calls!$D$2:$D$31,AC$1)&gt;0,1,"")</f>
        <v>1</v>
      </c>
      <c r="AD8" s="26" t="n">
        <f aca="false">SUM(B8:AC8)</f>
        <v>2</v>
      </c>
    </row>
    <row r="9" customFormat="false" ht="15" hidden="false" customHeight="false" outlineLevel="0" collapsed="false">
      <c r="A9" s="24" t="s">
        <v>125</v>
      </c>
      <c r="B9" s="25" t="str">
        <f aca="false">IF(COUNTIFS(Calls!$A$2:$A$31,$A9,Calls!$D$2:$D$31,B$1)&gt;0,1,"")</f>
        <v/>
      </c>
      <c r="C9" s="25" t="str">
        <f aca="false">IF(COUNTIFS(Calls!$A$2:$A$31,$A9,Calls!$D$2:$D$31,C$1)&gt;0,1,"")</f>
        <v/>
      </c>
      <c r="D9" s="25" t="str">
        <f aca="false">IF(COUNTIFS(Calls!$A$2:$A$31,$A9,Calls!$D$2:$D$31,D$1)&gt;0,1,"")</f>
        <v/>
      </c>
      <c r="E9" s="25" t="str">
        <f aca="false">IF(COUNTIFS(Calls!$A$2:$A$31,$A9,Calls!$D$2:$D$31,E$1)&gt;0,1,"")</f>
        <v/>
      </c>
      <c r="F9" s="25" t="str">
        <f aca="false">IF(COUNTIFS(Calls!$A$2:$A$31,$A9,Calls!$D$2:$D$31,F$1)&gt;0,1,"")</f>
        <v/>
      </c>
      <c r="G9" s="25" t="str">
        <f aca="false">IF(COUNTIFS(Calls!$A$2:$A$31,$A9,Calls!$D$2:$D$31,G$1)&gt;0,1,"")</f>
        <v/>
      </c>
      <c r="H9" s="25" t="str">
        <f aca="false">IF(COUNTIFS(Calls!$A$2:$A$31,$A9,Calls!$D$2:$D$31,H$1)&gt;0,1,"")</f>
        <v/>
      </c>
      <c r="I9" s="25" t="n">
        <f aca="false">IF(COUNTIFS(Calls!$A$2:$A$31,$A9,Calls!$D$2:$D$31,I$1)&gt;0,1,"")</f>
        <v>1</v>
      </c>
      <c r="J9" s="25" t="n">
        <f aca="false">IF(COUNTIFS(Calls!$A$2:$A$31,$A9,Calls!$D$2:$D$31,J$1)&gt;0,1,"")</f>
        <v>1</v>
      </c>
      <c r="K9" s="25" t="str">
        <f aca="false">IF(COUNTIFS(Calls!$A$2:$A$31,$A9,Calls!$D$2:$D$31,K$1)&gt;0,1,"")</f>
        <v/>
      </c>
      <c r="L9" s="25" t="str">
        <f aca="false">IF(COUNTIFS(Calls!$A$2:$A$31,$A9,Calls!$D$2:$D$31,L$1)&gt;0,1,"")</f>
        <v/>
      </c>
      <c r="M9" s="25" t="str">
        <f aca="false">IF(COUNTIFS(Calls!$A$2:$A$31,$A9,Calls!$D$2:$D$31,M$1)&gt;0,1,"")</f>
        <v/>
      </c>
      <c r="N9" s="25" t="str">
        <f aca="false">IF(COUNTIFS(Calls!$A$2:$A$31,$A9,Calls!$D$2:$D$31,N$1)&gt;0,1,"")</f>
        <v/>
      </c>
      <c r="O9" s="25" t="str">
        <f aca="false">IF(COUNTIFS(Calls!$A$2:$A$31,$A9,Calls!$D$2:$D$31,O$1)&gt;0,1,"")</f>
        <v/>
      </c>
      <c r="P9" s="25" t="str">
        <f aca="false">IF(COUNTIFS(Calls!$A$2:$A$31,$A9,Calls!$D$2:$D$31,P$1)&gt;0,1,"")</f>
        <v/>
      </c>
      <c r="Q9" s="25" t="str">
        <f aca="false">IF(COUNTIFS(Calls!$A$2:$A$31,$A9,Calls!$D$2:$D$31,Q$1)&gt;0,1,"")</f>
        <v/>
      </c>
      <c r="R9" s="25" t="str">
        <f aca="false">IF(COUNTIFS(Calls!$A$2:$A$31,$A9,Calls!$D$2:$D$31,R$1)&gt;0,1,"")</f>
        <v/>
      </c>
      <c r="S9" s="25" t="str">
        <f aca="false">IF(COUNTIFS(Calls!$A$2:$A$31,$A9,Calls!$D$2:$D$31,S$1)&gt;0,1,"")</f>
        <v/>
      </c>
      <c r="T9" s="25" t="str">
        <f aca="false">IF(COUNTIFS(Calls!$A$2:$A$31,$A9,Calls!$D$2:$D$31,T$1)&gt;0,1,"")</f>
        <v/>
      </c>
      <c r="U9" s="25" t="str">
        <f aca="false">IF(COUNTIFS(Calls!$A$2:$A$31,$A9,Calls!$D$2:$D$31,U$1)&gt;0,1,"")</f>
        <v/>
      </c>
      <c r="V9" s="25" t="str">
        <f aca="false">IF(COUNTIFS(Calls!$A$2:$A$31,$A9,Calls!$D$2:$D$31,V$1)&gt;0,1,"")</f>
        <v/>
      </c>
      <c r="W9" s="25" t="str">
        <f aca="false">IF(COUNTIFS(Calls!$A$2:$A$31,$A9,Calls!$D$2:$D$31,W$1)&gt;0,1,"")</f>
        <v/>
      </c>
      <c r="X9" s="25" t="str">
        <f aca="false">IF(COUNTIFS(Calls!$A$2:$A$31,$A9,Calls!$D$2:$D$31,X$1)&gt;0,1,"")</f>
        <v/>
      </c>
      <c r="Y9" s="25" t="str">
        <f aca="false">IF(COUNTIFS(Calls!$A$2:$A$31,$A9,Calls!$D$2:$D$31,Y$1)&gt;0,1,"")</f>
        <v/>
      </c>
      <c r="Z9" s="25" t="str">
        <f aca="false">IF(COUNTIFS(Calls!$A$2:$A$31,$A9,Calls!$D$2:$D$31,Z$1)&gt;0,1,"")</f>
        <v/>
      </c>
      <c r="AA9" s="25" t="str">
        <f aca="false">IF(COUNTIFS(Calls!$A$2:$A$31,$A9,Calls!$D$2:$D$31,AA$1)&gt;0,1,"")</f>
        <v/>
      </c>
      <c r="AB9" s="25" t="str">
        <f aca="false">IF(COUNTIFS(Calls!$A$2:$A$31,$A9,Calls!$D$2:$D$31,AB$1)&gt;0,1,"")</f>
        <v/>
      </c>
      <c r="AC9" s="25" t="str">
        <f aca="false">IF(COUNTIFS(Calls!$A$2:$A$31,$A9,Calls!$D$2:$D$31,AC$1)&gt;0,1,"")</f>
        <v/>
      </c>
      <c r="AD9" s="26" t="n">
        <f aca="false">SUM(B9:AC9)</f>
        <v>2</v>
      </c>
    </row>
    <row r="10" customFormat="false" ht="15" hidden="false" customHeight="false" outlineLevel="0" collapsed="false">
      <c r="A10" s="24" t="s">
        <v>118</v>
      </c>
      <c r="B10" s="25" t="str">
        <f aca="false">IF(COUNTIFS(Calls!$A$2:$A$31,$A10,Calls!$D$2:$D$31,B$1)&gt;0,1,"")</f>
        <v/>
      </c>
      <c r="C10" s="25" t="str">
        <f aca="false">IF(COUNTIFS(Calls!$A$2:$A$31,$A10,Calls!$D$2:$D$31,C$1)&gt;0,1,"")</f>
        <v/>
      </c>
      <c r="D10" s="25" t="str">
        <f aca="false">IF(COUNTIFS(Calls!$A$2:$A$31,$A10,Calls!$D$2:$D$31,D$1)&gt;0,1,"")</f>
        <v/>
      </c>
      <c r="E10" s="25" t="str">
        <f aca="false">IF(COUNTIFS(Calls!$A$2:$A$31,$A10,Calls!$D$2:$D$31,E$1)&gt;0,1,"")</f>
        <v/>
      </c>
      <c r="F10" s="25" t="str">
        <f aca="false">IF(COUNTIFS(Calls!$A$2:$A$31,$A10,Calls!$D$2:$D$31,F$1)&gt;0,1,"")</f>
        <v/>
      </c>
      <c r="G10" s="25" t="n">
        <f aca="false">IF(COUNTIFS(Calls!$A$2:$A$31,$A10,Calls!$D$2:$D$31,G$1)&gt;0,1,"")</f>
        <v>1</v>
      </c>
      <c r="H10" s="25" t="str">
        <f aca="false">IF(COUNTIFS(Calls!$A$2:$A$31,$A10,Calls!$D$2:$D$31,H$1)&gt;0,1,"")</f>
        <v/>
      </c>
      <c r="I10" s="25" t="str">
        <f aca="false">IF(COUNTIFS(Calls!$A$2:$A$31,$A10,Calls!$D$2:$D$31,I$1)&gt;0,1,"")</f>
        <v/>
      </c>
      <c r="J10" s="25" t="str">
        <f aca="false">IF(COUNTIFS(Calls!$A$2:$A$31,$A10,Calls!$D$2:$D$31,J$1)&gt;0,1,"")</f>
        <v/>
      </c>
      <c r="K10" s="25" t="n">
        <f aca="false">IF(COUNTIFS(Calls!$A$2:$A$31,$A10,Calls!$D$2:$D$31,K$1)&gt;0,1,"")</f>
        <v>1</v>
      </c>
      <c r="L10" s="25" t="str">
        <f aca="false">IF(COUNTIFS(Calls!$A$2:$A$31,$A10,Calls!$D$2:$D$31,L$1)&gt;0,1,"")</f>
        <v/>
      </c>
      <c r="M10" s="25" t="str">
        <f aca="false">IF(COUNTIFS(Calls!$A$2:$A$31,$A10,Calls!$D$2:$D$31,M$1)&gt;0,1,"")</f>
        <v/>
      </c>
      <c r="N10" s="25" t="str">
        <f aca="false">IF(COUNTIFS(Calls!$A$2:$A$31,$A10,Calls!$D$2:$D$31,N$1)&gt;0,1,"")</f>
        <v/>
      </c>
      <c r="O10" s="25" t="str">
        <f aca="false">IF(COUNTIFS(Calls!$A$2:$A$31,$A10,Calls!$D$2:$D$31,O$1)&gt;0,1,"")</f>
        <v/>
      </c>
      <c r="P10" s="25" t="str">
        <f aca="false">IF(COUNTIFS(Calls!$A$2:$A$31,$A10,Calls!$D$2:$D$31,P$1)&gt;0,1,"")</f>
        <v/>
      </c>
      <c r="Q10" s="25" t="str">
        <f aca="false">IF(COUNTIFS(Calls!$A$2:$A$31,$A10,Calls!$D$2:$D$31,Q$1)&gt;0,1,"")</f>
        <v/>
      </c>
      <c r="R10" s="25" t="str">
        <f aca="false">IF(COUNTIFS(Calls!$A$2:$A$31,$A10,Calls!$D$2:$D$31,R$1)&gt;0,1,"")</f>
        <v/>
      </c>
      <c r="S10" s="25" t="str">
        <f aca="false">IF(COUNTIFS(Calls!$A$2:$A$31,$A10,Calls!$D$2:$D$31,S$1)&gt;0,1,"")</f>
        <v/>
      </c>
      <c r="T10" s="25" t="str">
        <f aca="false">IF(COUNTIFS(Calls!$A$2:$A$31,$A10,Calls!$D$2:$D$31,T$1)&gt;0,1,"")</f>
        <v/>
      </c>
      <c r="U10" s="25" t="str">
        <f aca="false">IF(COUNTIFS(Calls!$A$2:$A$31,$A10,Calls!$D$2:$D$31,U$1)&gt;0,1,"")</f>
        <v/>
      </c>
      <c r="V10" s="25" t="str">
        <f aca="false">IF(COUNTIFS(Calls!$A$2:$A$31,$A10,Calls!$D$2:$D$31,V$1)&gt;0,1,"")</f>
        <v/>
      </c>
      <c r="W10" s="25" t="str">
        <f aca="false">IF(COUNTIFS(Calls!$A$2:$A$31,$A10,Calls!$D$2:$D$31,W$1)&gt;0,1,"")</f>
        <v/>
      </c>
      <c r="X10" s="25" t="str">
        <f aca="false">IF(COUNTIFS(Calls!$A$2:$A$31,$A10,Calls!$D$2:$D$31,X$1)&gt;0,1,"")</f>
        <v/>
      </c>
      <c r="Y10" s="25" t="str">
        <f aca="false">IF(COUNTIFS(Calls!$A$2:$A$31,$A10,Calls!$D$2:$D$31,Y$1)&gt;0,1,"")</f>
        <v/>
      </c>
      <c r="Z10" s="25" t="str">
        <f aca="false">IF(COUNTIFS(Calls!$A$2:$A$31,$A10,Calls!$D$2:$D$31,Z$1)&gt;0,1,"")</f>
        <v/>
      </c>
      <c r="AA10" s="25" t="str">
        <f aca="false">IF(COUNTIFS(Calls!$A$2:$A$31,$A10,Calls!$D$2:$D$31,AA$1)&gt;0,1,"")</f>
        <v/>
      </c>
      <c r="AB10" s="25" t="str">
        <f aca="false">IF(COUNTIFS(Calls!$A$2:$A$31,$A10,Calls!$D$2:$D$31,AB$1)&gt;0,1,"")</f>
        <v/>
      </c>
      <c r="AC10" s="25" t="str">
        <f aca="false">IF(COUNTIFS(Calls!$A$2:$A$31,$A10,Calls!$D$2:$D$31,AC$1)&gt;0,1,"")</f>
        <v/>
      </c>
      <c r="AD10" s="26" t="n">
        <f aca="false">SUM(B10:AC10)</f>
        <v>2</v>
      </c>
    </row>
    <row r="11" customFormat="false" ht="15" hidden="false" customHeight="false" outlineLevel="0" collapsed="false">
      <c r="A11" s="24" t="s">
        <v>78</v>
      </c>
      <c r="B11" s="25" t="str">
        <f aca="false">IF(COUNTIFS(Calls!$A$2:$A$31,$A11,Calls!$D$2:$D$31,B$1)&gt;0,1,"")</f>
        <v/>
      </c>
      <c r="C11" s="25" t="str">
        <f aca="false">IF(COUNTIFS(Calls!$A$2:$A$31,$A11,Calls!$D$2:$D$31,C$1)&gt;0,1,"")</f>
        <v/>
      </c>
      <c r="D11" s="25" t="n">
        <f aca="false">IF(COUNTIFS(Calls!$A$2:$A$31,$A11,Calls!$D$2:$D$31,D$1)&gt;0,1,"")</f>
        <v>1</v>
      </c>
      <c r="E11" s="25" t="str">
        <f aca="false">IF(COUNTIFS(Calls!$A$2:$A$31,$A11,Calls!$D$2:$D$31,E$1)&gt;0,1,"")</f>
        <v/>
      </c>
      <c r="F11" s="25" t="str">
        <f aca="false">IF(COUNTIFS(Calls!$A$2:$A$31,$A11,Calls!$D$2:$D$31,F$1)&gt;0,1,"")</f>
        <v/>
      </c>
      <c r="G11" s="25" t="str">
        <f aca="false">IF(COUNTIFS(Calls!$A$2:$A$31,$A11,Calls!$D$2:$D$31,G$1)&gt;0,1,"")</f>
        <v/>
      </c>
      <c r="H11" s="25" t="str">
        <f aca="false">IF(COUNTIFS(Calls!$A$2:$A$31,$A11,Calls!$D$2:$D$31,H$1)&gt;0,1,"")</f>
        <v/>
      </c>
      <c r="I11" s="25" t="str">
        <f aca="false">IF(COUNTIFS(Calls!$A$2:$A$31,$A11,Calls!$D$2:$D$31,I$1)&gt;0,1,"")</f>
        <v/>
      </c>
      <c r="J11" s="25" t="str">
        <f aca="false">IF(COUNTIFS(Calls!$A$2:$A$31,$A11,Calls!$D$2:$D$31,J$1)&gt;0,1,"")</f>
        <v/>
      </c>
      <c r="K11" s="25" t="str">
        <f aca="false">IF(COUNTIFS(Calls!$A$2:$A$31,$A11,Calls!$D$2:$D$31,K$1)&gt;0,1,"")</f>
        <v/>
      </c>
      <c r="L11" s="25" t="str">
        <f aca="false">IF(COUNTIFS(Calls!$A$2:$A$31,$A11,Calls!$D$2:$D$31,L$1)&gt;0,1,"")</f>
        <v/>
      </c>
      <c r="M11" s="25" t="str">
        <f aca="false">IF(COUNTIFS(Calls!$A$2:$A$31,$A11,Calls!$D$2:$D$31,M$1)&gt;0,1,"")</f>
        <v/>
      </c>
      <c r="N11" s="25" t="str">
        <f aca="false">IF(COUNTIFS(Calls!$A$2:$A$31,$A11,Calls!$D$2:$D$31,N$1)&gt;0,1,"")</f>
        <v/>
      </c>
      <c r="O11" s="25" t="str">
        <f aca="false">IF(COUNTIFS(Calls!$A$2:$A$31,$A11,Calls!$D$2:$D$31,O$1)&gt;0,1,"")</f>
        <v/>
      </c>
      <c r="P11" s="25" t="str">
        <f aca="false">IF(COUNTIFS(Calls!$A$2:$A$31,$A11,Calls!$D$2:$D$31,P$1)&gt;0,1,"")</f>
        <v/>
      </c>
      <c r="Q11" s="25" t="str">
        <f aca="false">IF(COUNTIFS(Calls!$A$2:$A$31,$A11,Calls!$D$2:$D$31,Q$1)&gt;0,1,"")</f>
        <v/>
      </c>
      <c r="R11" s="25" t="str">
        <f aca="false">IF(COUNTIFS(Calls!$A$2:$A$31,$A11,Calls!$D$2:$D$31,R$1)&gt;0,1,"")</f>
        <v/>
      </c>
      <c r="S11" s="25" t="str">
        <f aca="false">IF(COUNTIFS(Calls!$A$2:$A$31,$A11,Calls!$D$2:$D$31,S$1)&gt;0,1,"")</f>
        <v/>
      </c>
      <c r="T11" s="25" t="str">
        <f aca="false">IF(COUNTIFS(Calls!$A$2:$A$31,$A11,Calls!$D$2:$D$31,T$1)&gt;0,1,"")</f>
        <v/>
      </c>
      <c r="U11" s="25" t="str">
        <f aca="false">IF(COUNTIFS(Calls!$A$2:$A$31,$A11,Calls!$D$2:$D$31,U$1)&gt;0,1,"")</f>
        <v/>
      </c>
      <c r="V11" s="25" t="str">
        <f aca="false">IF(COUNTIFS(Calls!$A$2:$A$31,$A11,Calls!$D$2:$D$31,V$1)&gt;0,1,"")</f>
        <v/>
      </c>
      <c r="W11" s="25" t="str">
        <f aca="false">IF(COUNTIFS(Calls!$A$2:$A$31,$A11,Calls!$D$2:$D$31,W$1)&gt;0,1,"")</f>
        <v/>
      </c>
      <c r="X11" s="25" t="str">
        <f aca="false">IF(COUNTIFS(Calls!$A$2:$A$31,$A11,Calls!$D$2:$D$31,X$1)&gt;0,1,"")</f>
        <v/>
      </c>
      <c r="Y11" s="25" t="str">
        <f aca="false">IF(COUNTIFS(Calls!$A$2:$A$31,$A11,Calls!$D$2:$D$31,Y$1)&gt;0,1,"")</f>
        <v/>
      </c>
      <c r="Z11" s="25" t="str">
        <f aca="false">IF(COUNTIFS(Calls!$A$2:$A$31,$A11,Calls!$D$2:$D$31,Z$1)&gt;0,1,"")</f>
        <v/>
      </c>
      <c r="AA11" s="25" t="str">
        <f aca="false">IF(COUNTIFS(Calls!$A$2:$A$31,$A11,Calls!$D$2:$D$31,AA$1)&gt;0,1,"")</f>
        <v/>
      </c>
      <c r="AB11" s="25" t="str">
        <f aca="false">IF(COUNTIFS(Calls!$A$2:$A$31,$A11,Calls!$D$2:$D$31,AB$1)&gt;0,1,"")</f>
        <v/>
      </c>
      <c r="AC11" s="25" t="str">
        <f aca="false">IF(COUNTIFS(Calls!$A$2:$A$31,$A11,Calls!$D$2:$D$31,AC$1)&gt;0,1,"")</f>
        <v/>
      </c>
      <c r="AD11" s="26" t="n">
        <f aca="false">SUM(B11:AC11)</f>
        <v>1</v>
      </c>
    </row>
    <row r="12" customFormat="false" ht="15" hidden="false" customHeight="false" outlineLevel="0" collapsed="false">
      <c r="A12" s="24" t="s">
        <v>56</v>
      </c>
      <c r="B12" s="25" t="str">
        <f aca="false">IF(COUNTIFS(Calls!$A$2:$A$31,$A12,Calls!$D$2:$D$31,B$1)&gt;0,1,"")</f>
        <v/>
      </c>
      <c r="C12" s="25" t="str">
        <f aca="false">IF(COUNTIFS(Calls!$A$2:$A$31,$A12,Calls!$D$2:$D$31,C$1)&gt;0,1,"")</f>
        <v/>
      </c>
      <c r="D12" s="25" t="str">
        <f aca="false">IF(COUNTIFS(Calls!$A$2:$A$31,$A12,Calls!$D$2:$D$31,D$1)&gt;0,1,"")</f>
        <v/>
      </c>
      <c r="E12" s="25" t="str">
        <f aca="false">IF(COUNTIFS(Calls!$A$2:$A$31,$A12,Calls!$D$2:$D$31,E$1)&gt;0,1,"")</f>
        <v/>
      </c>
      <c r="F12" s="25" t="str">
        <f aca="false">IF(COUNTIFS(Calls!$A$2:$A$31,$A12,Calls!$D$2:$D$31,F$1)&gt;0,1,"")</f>
        <v/>
      </c>
      <c r="G12" s="25" t="str">
        <f aca="false">IF(COUNTIFS(Calls!$A$2:$A$31,$A12,Calls!$D$2:$D$31,G$1)&gt;0,1,"")</f>
        <v/>
      </c>
      <c r="H12" s="25" t="str">
        <f aca="false">IF(COUNTIFS(Calls!$A$2:$A$31,$A12,Calls!$D$2:$D$31,H$1)&gt;0,1,"")</f>
        <v/>
      </c>
      <c r="I12" s="25" t="str">
        <f aca="false">IF(COUNTIFS(Calls!$A$2:$A$31,$A12,Calls!$D$2:$D$31,I$1)&gt;0,1,"")</f>
        <v/>
      </c>
      <c r="J12" s="25" t="str">
        <f aca="false">IF(COUNTIFS(Calls!$A$2:$A$31,$A12,Calls!$D$2:$D$31,J$1)&gt;0,1,"")</f>
        <v/>
      </c>
      <c r="K12" s="25" t="str">
        <f aca="false">IF(COUNTIFS(Calls!$A$2:$A$31,$A12,Calls!$D$2:$D$31,K$1)&gt;0,1,"")</f>
        <v/>
      </c>
      <c r="L12" s="25" t="str">
        <f aca="false">IF(COUNTIFS(Calls!$A$2:$A$31,$A12,Calls!$D$2:$D$31,L$1)&gt;0,1,"")</f>
        <v/>
      </c>
      <c r="M12" s="25" t="str">
        <f aca="false">IF(COUNTIFS(Calls!$A$2:$A$31,$A12,Calls!$D$2:$D$31,M$1)&gt;0,1,"")</f>
        <v/>
      </c>
      <c r="N12" s="25" t="str">
        <f aca="false">IF(COUNTIFS(Calls!$A$2:$A$31,$A12,Calls!$D$2:$D$31,N$1)&gt;0,1,"")</f>
        <v/>
      </c>
      <c r="O12" s="25" t="str">
        <f aca="false">IF(COUNTIFS(Calls!$A$2:$A$31,$A12,Calls!$D$2:$D$31,O$1)&gt;0,1,"")</f>
        <v/>
      </c>
      <c r="P12" s="25" t="str">
        <f aca="false">IF(COUNTIFS(Calls!$A$2:$A$31,$A12,Calls!$D$2:$D$31,P$1)&gt;0,1,"")</f>
        <v/>
      </c>
      <c r="Q12" s="25" t="str">
        <f aca="false">IF(COUNTIFS(Calls!$A$2:$A$31,$A12,Calls!$D$2:$D$31,Q$1)&gt;0,1,"")</f>
        <v/>
      </c>
      <c r="R12" s="25" t="n">
        <f aca="false">IF(COUNTIFS(Calls!$A$2:$A$31,$A12,Calls!$D$2:$D$31,R$1)&gt;0,1,"")</f>
        <v>1</v>
      </c>
      <c r="S12" s="25" t="str">
        <f aca="false">IF(COUNTIFS(Calls!$A$2:$A$31,$A12,Calls!$D$2:$D$31,S$1)&gt;0,1,"")</f>
        <v/>
      </c>
      <c r="T12" s="25" t="str">
        <f aca="false">IF(COUNTIFS(Calls!$A$2:$A$31,$A12,Calls!$D$2:$D$31,T$1)&gt;0,1,"")</f>
        <v/>
      </c>
      <c r="U12" s="25" t="str">
        <f aca="false">IF(COUNTIFS(Calls!$A$2:$A$31,$A12,Calls!$D$2:$D$31,U$1)&gt;0,1,"")</f>
        <v/>
      </c>
      <c r="V12" s="25" t="str">
        <f aca="false">IF(COUNTIFS(Calls!$A$2:$A$31,$A12,Calls!$D$2:$D$31,V$1)&gt;0,1,"")</f>
        <v/>
      </c>
      <c r="W12" s="25" t="str">
        <f aca="false">IF(COUNTIFS(Calls!$A$2:$A$31,$A12,Calls!$D$2:$D$31,W$1)&gt;0,1,"")</f>
        <v/>
      </c>
      <c r="X12" s="25" t="str">
        <f aca="false">IF(COUNTIFS(Calls!$A$2:$A$31,$A12,Calls!$D$2:$D$31,X$1)&gt;0,1,"")</f>
        <v/>
      </c>
      <c r="Y12" s="25" t="str">
        <f aca="false">IF(COUNTIFS(Calls!$A$2:$A$31,$A12,Calls!$D$2:$D$31,Y$1)&gt;0,1,"")</f>
        <v/>
      </c>
      <c r="Z12" s="25" t="str">
        <f aca="false">IF(COUNTIFS(Calls!$A$2:$A$31,$A12,Calls!$D$2:$D$31,Z$1)&gt;0,1,"")</f>
        <v/>
      </c>
      <c r="AA12" s="25" t="str">
        <f aca="false">IF(COUNTIFS(Calls!$A$2:$A$31,$A12,Calls!$D$2:$D$31,AA$1)&gt;0,1,"")</f>
        <v/>
      </c>
      <c r="AB12" s="25" t="str">
        <f aca="false">IF(COUNTIFS(Calls!$A$2:$A$31,$A12,Calls!$D$2:$D$31,AB$1)&gt;0,1,"")</f>
        <v/>
      </c>
      <c r="AC12" s="25" t="str">
        <f aca="false">IF(COUNTIFS(Calls!$A$2:$A$31,$A12,Calls!$D$2:$D$31,AC$1)&gt;0,1,"")</f>
        <v/>
      </c>
      <c r="AD12" s="26" t="n">
        <f aca="false">SUM(B12:AC12)</f>
        <v>1</v>
      </c>
    </row>
    <row r="13" customFormat="false" ht="15" hidden="false" customHeight="false" outlineLevel="0" collapsed="false">
      <c r="A13" s="24" t="s">
        <v>52</v>
      </c>
      <c r="B13" s="25" t="n">
        <f aca="false">IF(COUNTIFS(Calls!$A$2:$A$31,$A13,Calls!$D$2:$D$31,B$1)&gt;0,1,"")</f>
        <v>1</v>
      </c>
      <c r="C13" s="25" t="str">
        <f aca="false">IF(COUNTIFS(Calls!$A$2:$A$31,$A13,Calls!$D$2:$D$31,C$1)&gt;0,1,"")</f>
        <v/>
      </c>
      <c r="D13" s="25" t="str">
        <f aca="false">IF(COUNTIFS(Calls!$A$2:$A$31,$A13,Calls!$D$2:$D$31,D$1)&gt;0,1,"")</f>
        <v/>
      </c>
      <c r="E13" s="25" t="str">
        <f aca="false">IF(COUNTIFS(Calls!$A$2:$A$31,$A13,Calls!$D$2:$D$31,E$1)&gt;0,1,"")</f>
        <v/>
      </c>
      <c r="F13" s="25" t="str">
        <f aca="false">IF(COUNTIFS(Calls!$A$2:$A$31,$A13,Calls!$D$2:$D$31,F$1)&gt;0,1,"")</f>
        <v/>
      </c>
      <c r="G13" s="25" t="str">
        <f aca="false">IF(COUNTIFS(Calls!$A$2:$A$31,$A13,Calls!$D$2:$D$31,G$1)&gt;0,1,"")</f>
        <v/>
      </c>
      <c r="H13" s="25" t="str">
        <f aca="false">IF(COUNTIFS(Calls!$A$2:$A$31,$A13,Calls!$D$2:$D$31,H$1)&gt;0,1,"")</f>
        <v/>
      </c>
      <c r="I13" s="25" t="str">
        <f aca="false">IF(COUNTIFS(Calls!$A$2:$A$31,$A13,Calls!$D$2:$D$31,I$1)&gt;0,1,"")</f>
        <v/>
      </c>
      <c r="J13" s="25" t="str">
        <f aca="false">IF(COUNTIFS(Calls!$A$2:$A$31,$A13,Calls!$D$2:$D$31,J$1)&gt;0,1,"")</f>
        <v/>
      </c>
      <c r="K13" s="25" t="str">
        <f aca="false">IF(COUNTIFS(Calls!$A$2:$A$31,$A13,Calls!$D$2:$D$31,K$1)&gt;0,1,"")</f>
        <v/>
      </c>
      <c r="L13" s="25" t="str">
        <f aca="false">IF(COUNTIFS(Calls!$A$2:$A$31,$A13,Calls!$D$2:$D$31,L$1)&gt;0,1,"")</f>
        <v/>
      </c>
      <c r="M13" s="25" t="str">
        <f aca="false">IF(COUNTIFS(Calls!$A$2:$A$31,$A13,Calls!$D$2:$D$31,M$1)&gt;0,1,"")</f>
        <v/>
      </c>
      <c r="N13" s="25" t="str">
        <f aca="false">IF(COUNTIFS(Calls!$A$2:$A$31,$A13,Calls!$D$2:$D$31,N$1)&gt;0,1,"")</f>
        <v/>
      </c>
      <c r="O13" s="25" t="str">
        <f aca="false">IF(COUNTIFS(Calls!$A$2:$A$31,$A13,Calls!$D$2:$D$31,O$1)&gt;0,1,"")</f>
        <v/>
      </c>
      <c r="P13" s="25" t="str">
        <f aca="false">IF(COUNTIFS(Calls!$A$2:$A$31,$A13,Calls!$D$2:$D$31,P$1)&gt;0,1,"")</f>
        <v/>
      </c>
      <c r="Q13" s="25" t="str">
        <f aca="false">IF(COUNTIFS(Calls!$A$2:$A$31,$A13,Calls!$D$2:$D$31,Q$1)&gt;0,1,"")</f>
        <v/>
      </c>
      <c r="R13" s="25" t="str">
        <f aca="false">IF(COUNTIFS(Calls!$A$2:$A$31,$A13,Calls!$D$2:$D$31,R$1)&gt;0,1,"")</f>
        <v/>
      </c>
      <c r="S13" s="25" t="str">
        <f aca="false">IF(COUNTIFS(Calls!$A$2:$A$31,$A13,Calls!$D$2:$D$31,S$1)&gt;0,1,"")</f>
        <v/>
      </c>
      <c r="T13" s="25" t="str">
        <f aca="false">IF(COUNTIFS(Calls!$A$2:$A$31,$A13,Calls!$D$2:$D$31,T$1)&gt;0,1,"")</f>
        <v/>
      </c>
      <c r="U13" s="25" t="str">
        <f aca="false">IF(COUNTIFS(Calls!$A$2:$A$31,$A13,Calls!$D$2:$D$31,U$1)&gt;0,1,"")</f>
        <v/>
      </c>
      <c r="V13" s="25" t="str">
        <f aca="false">IF(COUNTIFS(Calls!$A$2:$A$31,$A13,Calls!$D$2:$D$31,V$1)&gt;0,1,"")</f>
        <v/>
      </c>
      <c r="W13" s="25" t="str">
        <f aca="false">IF(COUNTIFS(Calls!$A$2:$A$31,$A13,Calls!$D$2:$D$31,W$1)&gt;0,1,"")</f>
        <v/>
      </c>
      <c r="X13" s="25" t="str">
        <f aca="false">IF(COUNTIFS(Calls!$A$2:$A$31,$A13,Calls!$D$2:$D$31,X$1)&gt;0,1,"")</f>
        <v/>
      </c>
      <c r="Y13" s="25" t="str">
        <f aca="false">IF(COUNTIFS(Calls!$A$2:$A$31,$A13,Calls!$D$2:$D$31,Y$1)&gt;0,1,"")</f>
        <v/>
      </c>
      <c r="Z13" s="25" t="str">
        <f aca="false">IF(COUNTIFS(Calls!$A$2:$A$31,$A13,Calls!$D$2:$D$31,Z$1)&gt;0,1,"")</f>
        <v/>
      </c>
      <c r="AA13" s="25" t="str">
        <f aca="false">IF(COUNTIFS(Calls!$A$2:$A$31,$A13,Calls!$D$2:$D$31,AA$1)&gt;0,1,"")</f>
        <v/>
      </c>
      <c r="AB13" s="25" t="str">
        <f aca="false">IF(COUNTIFS(Calls!$A$2:$A$31,$A13,Calls!$D$2:$D$31,AB$1)&gt;0,1,"")</f>
        <v/>
      </c>
      <c r="AC13" s="25" t="str">
        <f aca="false">IF(COUNTIFS(Calls!$A$2:$A$31,$A13,Calls!$D$2:$D$31,AC$1)&gt;0,1,"")</f>
        <v/>
      </c>
      <c r="AD13" s="26" t="n">
        <f aca="false">SUM(B13:AC13)</f>
        <v>1</v>
      </c>
    </row>
    <row r="14" customFormat="false" ht="15" hidden="false" customHeight="false" outlineLevel="0" collapsed="false">
      <c r="A14" s="24" t="s">
        <v>59</v>
      </c>
      <c r="B14" s="25" t="str">
        <f aca="false">IF(COUNTIFS(Calls!$A$2:$A$31,$A14,Calls!$D$2:$D$31,B$1)&gt;0,1,"")</f>
        <v/>
      </c>
      <c r="C14" s="25" t="str">
        <f aca="false">IF(COUNTIFS(Calls!$A$2:$A$31,$A14,Calls!$D$2:$D$31,C$1)&gt;0,1,"")</f>
        <v/>
      </c>
      <c r="D14" s="25" t="str">
        <f aca="false">IF(COUNTIFS(Calls!$A$2:$A$31,$A14,Calls!$D$2:$D$31,D$1)&gt;0,1,"")</f>
        <v/>
      </c>
      <c r="E14" s="25" t="str">
        <f aca="false">IF(COUNTIFS(Calls!$A$2:$A$31,$A14,Calls!$D$2:$D$31,E$1)&gt;0,1,"")</f>
        <v/>
      </c>
      <c r="F14" s="25" t="str">
        <f aca="false">IF(COUNTIFS(Calls!$A$2:$A$31,$A14,Calls!$D$2:$D$31,F$1)&gt;0,1,"")</f>
        <v/>
      </c>
      <c r="G14" s="25" t="str">
        <f aca="false">IF(COUNTIFS(Calls!$A$2:$A$31,$A14,Calls!$D$2:$D$31,G$1)&gt;0,1,"")</f>
        <v/>
      </c>
      <c r="H14" s="25" t="str">
        <f aca="false">IF(COUNTIFS(Calls!$A$2:$A$31,$A14,Calls!$D$2:$D$31,H$1)&gt;0,1,"")</f>
        <v/>
      </c>
      <c r="I14" s="25" t="str">
        <f aca="false">IF(COUNTIFS(Calls!$A$2:$A$31,$A14,Calls!$D$2:$D$31,I$1)&gt;0,1,"")</f>
        <v/>
      </c>
      <c r="J14" s="25" t="str">
        <f aca="false">IF(COUNTIFS(Calls!$A$2:$A$31,$A14,Calls!$D$2:$D$31,J$1)&gt;0,1,"")</f>
        <v/>
      </c>
      <c r="K14" s="25" t="str">
        <f aca="false">IF(COUNTIFS(Calls!$A$2:$A$31,$A14,Calls!$D$2:$D$31,K$1)&gt;0,1,"")</f>
        <v/>
      </c>
      <c r="L14" s="25" t="str">
        <f aca="false">IF(COUNTIFS(Calls!$A$2:$A$31,$A14,Calls!$D$2:$D$31,L$1)&gt;0,1,"")</f>
        <v/>
      </c>
      <c r="M14" s="25" t="str">
        <f aca="false">IF(COUNTIFS(Calls!$A$2:$A$31,$A14,Calls!$D$2:$D$31,M$1)&gt;0,1,"")</f>
        <v/>
      </c>
      <c r="N14" s="25" t="str">
        <f aca="false">IF(COUNTIFS(Calls!$A$2:$A$31,$A14,Calls!$D$2:$D$31,N$1)&gt;0,1,"")</f>
        <v/>
      </c>
      <c r="O14" s="25" t="str">
        <f aca="false">IF(COUNTIFS(Calls!$A$2:$A$31,$A14,Calls!$D$2:$D$31,O$1)&gt;0,1,"")</f>
        <v/>
      </c>
      <c r="P14" s="25" t="str">
        <f aca="false">IF(COUNTIFS(Calls!$A$2:$A$31,$A14,Calls!$D$2:$D$31,P$1)&gt;0,1,"")</f>
        <v/>
      </c>
      <c r="Q14" s="25" t="str">
        <f aca="false">IF(COUNTIFS(Calls!$A$2:$A$31,$A14,Calls!$D$2:$D$31,Q$1)&gt;0,1,"")</f>
        <v/>
      </c>
      <c r="R14" s="25" t="str">
        <f aca="false">IF(COUNTIFS(Calls!$A$2:$A$31,$A14,Calls!$D$2:$D$31,R$1)&gt;0,1,"")</f>
        <v/>
      </c>
      <c r="S14" s="25" t="str">
        <f aca="false">IF(COUNTIFS(Calls!$A$2:$A$31,$A14,Calls!$D$2:$D$31,S$1)&gt;0,1,"")</f>
        <v/>
      </c>
      <c r="T14" s="25" t="n">
        <f aca="false">IF(COUNTIFS(Calls!$A$2:$A$31,$A14,Calls!$D$2:$D$31,T$1)&gt;0,1,"")</f>
        <v>1</v>
      </c>
      <c r="U14" s="25" t="str">
        <f aca="false">IF(COUNTIFS(Calls!$A$2:$A$31,$A14,Calls!$D$2:$D$31,U$1)&gt;0,1,"")</f>
        <v/>
      </c>
      <c r="V14" s="25" t="str">
        <f aca="false">IF(COUNTIFS(Calls!$A$2:$A$31,$A14,Calls!$D$2:$D$31,V$1)&gt;0,1,"")</f>
        <v/>
      </c>
      <c r="W14" s="25" t="str">
        <f aca="false">IF(COUNTIFS(Calls!$A$2:$A$31,$A14,Calls!$D$2:$D$31,W$1)&gt;0,1,"")</f>
        <v/>
      </c>
      <c r="X14" s="25" t="str">
        <f aca="false">IF(COUNTIFS(Calls!$A$2:$A$31,$A14,Calls!$D$2:$D$31,X$1)&gt;0,1,"")</f>
        <v/>
      </c>
      <c r="Y14" s="25" t="str">
        <f aca="false">IF(COUNTIFS(Calls!$A$2:$A$31,$A14,Calls!$D$2:$D$31,Y$1)&gt;0,1,"")</f>
        <v/>
      </c>
      <c r="Z14" s="25" t="str">
        <f aca="false">IF(COUNTIFS(Calls!$A$2:$A$31,$A14,Calls!$D$2:$D$31,Z$1)&gt;0,1,"")</f>
        <v/>
      </c>
      <c r="AA14" s="25" t="str">
        <f aca="false">IF(COUNTIFS(Calls!$A$2:$A$31,$A14,Calls!$D$2:$D$31,AA$1)&gt;0,1,"")</f>
        <v/>
      </c>
      <c r="AB14" s="25" t="str">
        <f aca="false">IF(COUNTIFS(Calls!$A$2:$A$31,$A14,Calls!$D$2:$D$31,AB$1)&gt;0,1,"")</f>
        <v/>
      </c>
      <c r="AC14" s="25" t="str">
        <f aca="false">IF(COUNTIFS(Calls!$A$2:$A$31,$A14,Calls!$D$2:$D$31,AC$1)&gt;0,1,"")</f>
        <v/>
      </c>
      <c r="AD14" s="26" t="n">
        <f aca="false">SUM(B14:AC14)</f>
        <v>1</v>
      </c>
    </row>
    <row r="15" customFormat="false" ht="15" hidden="false" customHeight="false" outlineLevel="0" collapsed="false">
      <c r="A15" s="24" t="s">
        <v>96</v>
      </c>
      <c r="B15" s="25" t="str">
        <f aca="false">IF(COUNTIFS(Calls!$A$2:$A$31,$A15,Calls!$D$2:$D$31,B$1)&gt;0,1,"")</f>
        <v/>
      </c>
      <c r="C15" s="25" t="str">
        <f aca="false">IF(COUNTIFS(Calls!$A$2:$A$31,$A15,Calls!$D$2:$D$31,C$1)&gt;0,1,"")</f>
        <v/>
      </c>
      <c r="D15" s="25" t="str">
        <f aca="false">IF(COUNTIFS(Calls!$A$2:$A$31,$A15,Calls!$D$2:$D$31,D$1)&gt;0,1,"")</f>
        <v/>
      </c>
      <c r="E15" s="25" t="str">
        <f aca="false">IF(COUNTIFS(Calls!$A$2:$A$31,$A15,Calls!$D$2:$D$31,E$1)&gt;0,1,"")</f>
        <v/>
      </c>
      <c r="F15" s="25" t="str">
        <f aca="false">IF(COUNTIFS(Calls!$A$2:$A$31,$A15,Calls!$D$2:$D$31,F$1)&gt;0,1,"")</f>
        <v/>
      </c>
      <c r="G15" s="25" t="str">
        <f aca="false">IF(COUNTIFS(Calls!$A$2:$A$31,$A15,Calls!$D$2:$D$31,G$1)&gt;0,1,"")</f>
        <v/>
      </c>
      <c r="H15" s="25" t="str">
        <f aca="false">IF(COUNTIFS(Calls!$A$2:$A$31,$A15,Calls!$D$2:$D$31,H$1)&gt;0,1,"")</f>
        <v/>
      </c>
      <c r="I15" s="25" t="str">
        <f aca="false">IF(COUNTIFS(Calls!$A$2:$A$31,$A15,Calls!$D$2:$D$31,I$1)&gt;0,1,"")</f>
        <v/>
      </c>
      <c r="J15" s="25" t="str">
        <f aca="false">IF(COUNTIFS(Calls!$A$2:$A$31,$A15,Calls!$D$2:$D$31,J$1)&gt;0,1,"")</f>
        <v/>
      </c>
      <c r="K15" s="25" t="str">
        <f aca="false">IF(COUNTIFS(Calls!$A$2:$A$31,$A15,Calls!$D$2:$D$31,K$1)&gt;0,1,"")</f>
        <v/>
      </c>
      <c r="L15" s="25" t="str">
        <f aca="false">IF(COUNTIFS(Calls!$A$2:$A$31,$A15,Calls!$D$2:$D$31,L$1)&gt;0,1,"")</f>
        <v/>
      </c>
      <c r="M15" s="25" t="str">
        <f aca="false">IF(COUNTIFS(Calls!$A$2:$A$31,$A15,Calls!$D$2:$D$31,M$1)&gt;0,1,"")</f>
        <v/>
      </c>
      <c r="N15" s="25" t="str">
        <f aca="false">IF(COUNTIFS(Calls!$A$2:$A$31,$A15,Calls!$D$2:$D$31,N$1)&gt;0,1,"")</f>
        <v/>
      </c>
      <c r="O15" s="25" t="str">
        <f aca="false">IF(COUNTIFS(Calls!$A$2:$A$31,$A15,Calls!$D$2:$D$31,O$1)&gt;0,1,"")</f>
        <v/>
      </c>
      <c r="P15" s="25" t="str">
        <f aca="false">IF(COUNTIFS(Calls!$A$2:$A$31,$A15,Calls!$D$2:$D$31,P$1)&gt;0,1,"")</f>
        <v/>
      </c>
      <c r="Q15" s="25" t="str">
        <f aca="false">IF(COUNTIFS(Calls!$A$2:$A$31,$A15,Calls!$D$2:$D$31,Q$1)&gt;0,1,"")</f>
        <v/>
      </c>
      <c r="R15" s="25" t="str">
        <f aca="false">IF(COUNTIFS(Calls!$A$2:$A$31,$A15,Calls!$D$2:$D$31,R$1)&gt;0,1,"")</f>
        <v/>
      </c>
      <c r="S15" s="25" t="str">
        <f aca="false">IF(COUNTIFS(Calls!$A$2:$A$31,$A15,Calls!$D$2:$D$31,S$1)&gt;0,1,"")</f>
        <v/>
      </c>
      <c r="T15" s="25" t="str">
        <f aca="false">IF(COUNTIFS(Calls!$A$2:$A$31,$A15,Calls!$D$2:$D$31,T$1)&gt;0,1,"")</f>
        <v/>
      </c>
      <c r="U15" s="25" t="str">
        <f aca="false">IF(COUNTIFS(Calls!$A$2:$A$31,$A15,Calls!$D$2:$D$31,U$1)&gt;0,1,"")</f>
        <v/>
      </c>
      <c r="V15" s="25" t="str">
        <f aca="false">IF(COUNTIFS(Calls!$A$2:$A$31,$A15,Calls!$D$2:$D$31,V$1)&gt;0,1,"")</f>
        <v/>
      </c>
      <c r="W15" s="25" t="n">
        <f aca="false">IF(COUNTIFS(Calls!$A$2:$A$31,$A15,Calls!$D$2:$D$31,W$1)&gt;0,1,"")</f>
        <v>1</v>
      </c>
      <c r="X15" s="25" t="str">
        <f aca="false">IF(COUNTIFS(Calls!$A$2:$A$31,$A15,Calls!$D$2:$D$31,X$1)&gt;0,1,"")</f>
        <v/>
      </c>
      <c r="Y15" s="25" t="str">
        <f aca="false">IF(COUNTIFS(Calls!$A$2:$A$31,$A15,Calls!$D$2:$D$31,Y$1)&gt;0,1,"")</f>
        <v/>
      </c>
      <c r="Z15" s="25" t="str">
        <f aca="false">IF(COUNTIFS(Calls!$A$2:$A$31,$A15,Calls!$D$2:$D$31,Z$1)&gt;0,1,"")</f>
        <v/>
      </c>
      <c r="AA15" s="25" t="str">
        <f aca="false">IF(COUNTIFS(Calls!$A$2:$A$31,$A15,Calls!$D$2:$D$31,AA$1)&gt;0,1,"")</f>
        <v/>
      </c>
      <c r="AB15" s="25" t="str">
        <f aca="false">IF(COUNTIFS(Calls!$A$2:$A$31,$A15,Calls!$D$2:$D$31,AB$1)&gt;0,1,"")</f>
        <v/>
      </c>
      <c r="AC15" s="25" t="str">
        <f aca="false">IF(COUNTIFS(Calls!$A$2:$A$31,$A15,Calls!$D$2:$D$31,AC$1)&gt;0,1,"")</f>
        <v/>
      </c>
      <c r="AD15" s="26" t="n">
        <f aca="false">SUM(B15:AC15)</f>
        <v>1</v>
      </c>
    </row>
    <row r="16" customFormat="false" ht="15" hidden="false" customHeight="false" outlineLevel="0" collapsed="false">
      <c r="A16" s="24" t="s">
        <v>92</v>
      </c>
      <c r="B16" s="25" t="str">
        <f aca="false">IF(COUNTIFS(Calls!$A$2:$A$31,$A16,Calls!$D$2:$D$31,B$1)&gt;0,1,"")</f>
        <v/>
      </c>
      <c r="C16" s="25" t="str">
        <f aca="false">IF(COUNTIFS(Calls!$A$2:$A$31,$A16,Calls!$D$2:$D$31,C$1)&gt;0,1,"")</f>
        <v/>
      </c>
      <c r="D16" s="25" t="str">
        <f aca="false">IF(COUNTIFS(Calls!$A$2:$A$31,$A16,Calls!$D$2:$D$31,D$1)&gt;0,1,"")</f>
        <v/>
      </c>
      <c r="E16" s="25" t="str">
        <f aca="false">IF(COUNTIFS(Calls!$A$2:$A$31,$A16,Calls!$D$2:$D$31,E$1)&gt;0,1,"")</f>
        <v/>
      </c>
      <c r="F16" s="25" t="str">
        <f aca="false">IF(COUNTIFS(Calls!$A$2:$A$31,$A16,Calls!$D$2:$D$31,F$1)&gt;0,1,"")</f>
        <v/>
      </c>
      <c r="G16" s="25" t="str">
        <f aca="false">IF(COUNTIFS(Calls!$A$2:$A$31,$A16,Calls!$D$2:$D$31,G$1)&gt;0,1,"")</f>
        <v/>
      </c>
      <c r="H16" s="25" t="str">
        <f aca="false">IF(COUNTIFS(Calls!$A$2:$A$31,$A16,Calls!$D$2:$D$31,H$1)&gt;0,1,"")</f>
        <v/>
      </c>
      <c r="I16" s="25" t="str">
        <f aca="false">IF(COUNTIFS(Calls!$A$2:$A$31,$A16,Calls!$D$2:$D$31,I$1)&gt;0,1,"")</f>
        <v/>
      </c>
      <c r="J16" s="25" t="str">
        <f aca="false">IF(COUNTIFS(Calls!$A$2:$A$31,$A16,Calls!$D$2:$D$31,J$1)&gt;0,1,"")</f>
        <v/>
      </c>
      <c r="K16" s="25" t="str">
        <f aca="false">IF(COUNTIFS(Calls!$A$2:$A$31,$A16,Calls!$D$2:$D$31,K$1)&gt;0,1,"")</f>
        <v/>
      </c>
      <c r="L16" s="25" t="str">
        <f aca="false">IF(COUNTIFS(Calls!$A$2:$A$31,$A16,Calls!$D$2:$D$31,L$1)&gt;0,1,"")</f>
        <v/>
      </c>
      <c r="M16" s="25" t="str">
        <f aca="false">IF(COUNTIFS(Calls!$A$2:$A$31,$A16,Calls!$D$2:$D$31,M$1)&gt;0,1,"")</f>
        <v/>
      </c>
      <c r="N16" s="25" t="str">
        <f aca="false">IF(COUNTIFS(Calls!$A$2:$A$31,$A16,Calls!$D$2:$D$31,N$1)&gt;0,1,"")</f>
        <v/>
      </c>
      <c r="O16" s="25" t="str">
        <f aca="false">IF(COUNTIFS(Calls!$A$2:$A$31,$A16,Calls!$D$2:$D$31,O$1)&gt;0,1,"")</f>
        <v/>
      </c>
      <c r="P16" s="25" t="str">
        <f aca="false">IF(COUNTIFS(Calls!$A$2:$A$31,$A16,Calls!$D$2:$D$31,P$1)&gt;0,1,"")</f>
        <v/>
      </c>
      <c r="Q16" s="25" t="str">
        <f aca="false">IF(COUNTIFS(Calls!$A$2:$A$31,$A16,Calls!$D$2:$D$31,Q$1)&gt;0,1,"")</f>
        <v/>
      </c>
      <c r="R16" s="25" t="str">
        <f aca="false">IF(COUNTIFS(Calls!$A$2:$A$31,$A16,Calls!$D$2:$D$31,R$1)&gt;0,1,"")</f>
        <v/>
      </c>
      <c r="S16" s="25" t="str">
        <f aca="false">IF(COUNTIFS(Calls!$A$2:$A$31,$A16,Calls!$D$2:$D$31,S$1)&gt;0,1,"")</f>
        <v/>
      </c>
      <c r="T16" s="25" t="str">
        <f aca="false">IF(COUNTIFS(Calls!$A$2:$A$31,$A16,Calls!$D$2:$D$31,T$1)&gt;0,1,"")</f>
        <v/>
      </c>
      <c r="U16" s="25" t="str">
        <f aca="false">IF(COUNTIFS(Calls!$A$2:$A$31,$A16,Calls!$D$2:$D$31,U$1)&gt;0,1,"")</f>
        <v/>
      </c>
      <c r="V16" s="25" t="str">
        <f aca="false">IF(COUNTIFS(Calls!$A$2:$A$31,$A16,Calls!$D$2:$D$31,V$1)&gt;0,1,"")</f>
        <v/>
      </c>
      <c r="W16" s="25" t="str">
        <f aca="false">IF(COUNTIFS(Calls!$A$2:$A$31,$A16,Calls!$D$2:$D$31,W$1)&gt;0,1,"")</f>
        <v/>
      </c>
      <c r="X16" s="25" t="str">
        <f aca="false">IF(COUNTIFS(Calls!$A$2:$A$31,$A16,Calls!$D$2:$D$31,X$1)&gt;0,1,"")</f>
        <v/>
      </c>
      <c r="Y16" s="25" t="n">
        <f aca="false">IF(COUNTIFS(Calls!$A$2:$A$31,$A16,Calls!$D$2:$D$31,Y$1)&gt;0,1,"")</f>
        <v>1</v>
      </c>
      <c r="Z16" s="25" t="str">
        <f aca="false">IF(COUNTIFS(Calls!$A$2:$A$31,$A16,Calls!$D$2:$D$31,Z$1)&gt;0,1,"")</f>
        <v/>
      </c>
      <c r="AA16" s="25" t="str">
        <f aca="false">IF(COUNTIFS(Calls!$A$2:$A$31,$A16,Calls!$D$2:$D$31,AA$1)&gt;0,1,"")</f>
        <v/>
      </c>
      <c r="AB16" s="25" t="str">
        <f aca="false">IF(COUNTIFS(Calls!$A$2:$A$31,$A16,Calls!$D$2:$D$31,AB$1)&gt;0,1,"")</f>
        <v/>
      </c>
      <c r="AC16" s="25" t="str">
        <f aca="false">IF(COUNTIFS(Calls!$A$2:$A$31,$A16,Calls!$D$2:$D$31,AC$1)&gt;0,1,"")</f>
        <v/>
      </c>
      <c r="AD16" s="26" t="n">
        <f aca="false">SUM(B16:AC16)</f>
        <v>1</v>
      </c>
    </row>
    <row r="17" customFormat="false" ht="15" hidden="false" customHeight="false" outlineLevel="0" collapsed="false">
      <c r="A17" s="24" t="s">
        <v>89</v>
      </c>
      <c r="B17" s="25" t="str">
        <f aca="false">IF(COUNTIFS(Calls!$A$2:$A$31,$A17,Calls!$D$2:$D$31,B$1)&gt;0,1,"")</f>
        <v/>
      </c>
      <c r="C17" s="25" t="n">
        <f aca="false">IF(COUNTIFS(Calls!$A$2:$A$31,$A17,Calls!$D$2:$D$31,C$1)&gt;0,1,"")</f>
        <v>1</v>
      </c>
      <c r="D17" s="25" t="str">
        <f aca="false">IF(COUNTIFS(Calls!$A$2:$A$31,$A17,Calls!$D$2:$D$31,D$1)&gt;0,1,"")</f>
        <v/>
      </c>
      <c r="E17" s="25" t="str">
        <f aca="false">IF(COUNTIFS(Calls!$A$2:$A$31,$A17,Calls!$D$2:$D$31,E$1)&gt;0,1,"")</f>
        <v/>
      </c>
      <c r="F17" s="25" t="str">
        <f aca="false">IF(COUNTIFS(Calls!$A$2:$A$31,$A17,Calls!$D$2:$D$31,F$1)&gt;0,1,"")</f>
        <v/>
      </c>
      <c r="G17" s="25" t="str">
        <f aca="false">IF(COUNTIFS(Calls!$A$2:$A$31,$A17,Calls!$D$2:$D$31,G$1)&gt;0,1,"")</f>
        <v/>
      </c>
      <c r="H17" s="25" t="str">
        <f aca="false">IF(COUNTIFS(Calls!$A$2:$A$31,$A17,Calls!$D$2:$D$31,H$1)&gt;0,1,"")</f>
        <v/>
      </c>
      <c r="I17" s="25" t="str">
        <f aca="false">IF(COUNTIFS(Calls!$A$2:$A$31,$A17,Calls!$D$2:$D$31,I$1)&gt;0,1,"")</f>
        <v/>
      </c>
      <c r="J17" s="25" t="str">
        <f aca="false">IF(COUNTIFS(Calls!$A$2:$A$31,$A17,Calls!$D$2:$D$31,J$1)&gt;0,1,"")</f>
        <v/>
      </c>
      <c r="K17" s="25" t="str">
        <f aca="false">IF(COUNTIFS(Calls!$A$2:$A$31,$A17,Calls!$D$2:$D$31,K$1)&gt;0,1,"")</f>
        <v/>
      </c>
      <c r="L17" s="25" t="str">
        <f aca="false">IF(COUNTIFS(Calls!$A$2:$A$31,$A17,Calls!$D$2:$D$31,L$1)&gt;0,1,"")</f>
        <v/>
      </c>
      <c r="M17" s="25" t="str">
        <f aca="false">IF(COUNTIFS(Calls!$A$2:$A$31,$A17,Calls!$D$2:$D$31,M$1)&gt;0,1,"")</f>
        <v/>
      </c>
      <c r="N17" s="25" t="str">
        <f aca="false">IF(COUNTIFS(Calls!$A$2:$A$31,$A17,Calls!$D$2:$D$31,N$1)&gt;0,1,"")</f>
        <v/>
      </c>
      <c r="O17" s="25" t="str">
        <f aca="false">IF(COUNTIFS(Calls!$A$2:$A$31,$A17,Calls!$D$2:$D$31,O$1)&gt;0,1,"")</f>
        <v/>
      </c>
      <c r="P17" s="25" t="str">
        <f aca="false">IF(COUNTIFS(Calls!$A$2:$A$31,$A17,Calls!$D$2:$D$31,P$1)&gt;0,1,"")</f>
        <v/>
      </c>
      <c r="Q17" s="25" t="str">
        <f aca="false">IF(COUNTIFS(Calls!$A$2:$A$31,$A17,Calls!$D$2:$D$31,Q$1)&gt;0,1,"")</f>
        <v/>
      </c>
      <c r="R17" s="25" t="str">
        <f aca="false">IF(COUNTIFS(Calls!$A$2:$A$31,$A17,Calls!$D$2:$D$31,R$1)&gt;0,1,"")</f>
        <v/>
      </c>
      <c r="S17" s="25" t="str">
        <f aca="false">IF(COUNTIFS(Calls!$A$2:$A$31,$A17,Calls!$D$2:$D$31,S$1)&gt;0,1,"")</f>
        <v/>
      </c>
      <c r="T17" s="25" t="str">
        <f aca="false">IF(COUNTIFS(Calls!$A$2:$A$31,$A17,Calls!$D$2:$D$31,T$1)&gt;0,1,"")</f>
        <v/>
      </c>
      <c r="U17" s="25" t="str">
        <f aca="false">IF(COUNTIFS(Calls!$A$2:$A$31,$A17,Calls!$D$2:$D$31,U$1)&gt;0,1,"")</f>
        <v/>
      </c>
      <c r="V17" s="25" t="str">
        <f aca="false">IF(COUNTIFS(Calls!$A$2:$A$31,$A17,Calls!$D$2:$D$31,V$1)&gt;0,1,"")</f>
        <v/>
      </c>
      <c r="W17" s="25" t="str">
        <f aca="false">IF(COUNTIFS(Calls!$A$2:$A$31,$A17,Calls!$D$2:$D$31,W$1)&gt;0,1,"")</f>
        <v/>
      </c>
      <c r="X17" s="25" t="str">
        <f aca="false">IF(COUNTIFS(Calls!$A$2:$A$31,$A17,Calls!$D$2:$D$31,X$1)&gt;0,1,"")</f>
        <v/>
      </c>
      <c r="Y17" s="25" t="str">
        <f aca="false">IF(COUNTIFS(Calls!$A$2:$A$31,$A17,Calls!$D$2:$D$31,Y$1)&gt;0,1,"")</f>
        <v/>
      </c>
      <c r="Z17" s="25" t="str">
        <f aca="false">IF(COUNTIFS(Calls!$A$2:$A$31,$A17,Calls!$D$2:$D$31,Z$1)&gt;0,1,"")</f>
        <v/>
      </c>
      <c r="AA17" s="25" t="str">
        <f aca="false">IF(COUNTIFS(Calls!$A$2:$A$31,$A17,Calls!$D$2:$D$31,AA$1)&gt;0,1,"")</f>
        <v/>
      </c>
      <c r="AB17" s="25" t="str">
        <f aca="false">IF(COUNTIFS(Calls!$A$2:$A$31,$A17,Calls!$D$2:$D$31,AB$1)&gt;0,1,"")</f>
        <v/>
      </c>
      <c r="AC17" s="25" t="str">
        <f aca="false">IF(COUNTIFS(Calls!$A$2:$A$31,$A17,Calls!$D$2:$D$31,AC$1)&gt;0,1,"")</f>
        <v/>
      </c>
      <c r="AD17" s="26" t="n">
        <f aca="false">SUM(B17:AC17)</f>
        <v>1</v>
      </c>
    </row>
    <row r="18" customFormat="false" ht="15" hidden="false" customHeight="false" outlineLevel="0" collapsed="false">
      <c r="A18" s="24" t="s">
        <v>115</v>
      </c>
      <c r="B18" s="25" t="str">
        <f aca="false">IF(COUNTIFS(Calls!$A$2:$A$31,$A18,Calls!$D$2:$D$31,B$1)&gt;0,1,"")</f>
        <v/>
      </c>
      <c r="C18" s="25" t="str">
        <f aca="false">IF(COUNTIFS(Calls!$A$2:$A$31,$A18,Calls!$D$2:$D$31,C$1)&gt;0,1,"")</f>
        <v/>
      </c>
      <c r="D18" s="25" t="str">
        <f aca="false">IF(COUNTIFS(Calls!$A$2:$A$31,$A18,Calls!$D$2:$D$31,D$1)&gt;0,1,"")</f>
        <v/>
      </c>
      <c r="E18" s="25" t="str">
        <f aca="false">IF(COUNTIFS(Calls!$A$2:$A$31,$A18,Calls!$D$2:$D$31,E$1)&gt;0,1,"")</f>
        <v/>
      </c>
      <c r="F18" s="25" t="n">
        <f aca="false">IF(COUNTIFS(Calls!$A$2:$A$31,$A18,Calls!$D$2:$D$31,F$1)&gt;0,1,"")</f>
        <v>1</v>
      </c>
      <c r="G18" s="25" t="str">
        <f aca="false">IF(COUNTIFS(Calls!$A$2:$A$31,$A18,Calls!$D$2:$D$31,G$1)&gt;0,1,"")</f>
        <v/>
      </c>
      <c r="H18" s="25" t="str">
        <f aca="false">IF(COUNTIFS(Calls!$A$2:$A$31,$A18,Calls!$D$2:$D$31,H$1)&gt;0,1,"")</f>
        <v/>
      </c>
      <c r="I18" s="25" t="str">
        <f aca="false">IF(COUNTIFS(Calls!$A$2:$A$31,$A18,Calls!$D$2:$D$31,I$1)&gt;0,1,"")</f>
        <v/>
      </c>
      <c r="J18" s="25" t="str">
        <f aca="false">IF(COUNTIFS(Calls!$A$2:$A$31,$A18,Calls!$D$2:$D$31,J$1)&gt;0,1,"")</f>
        <v/>
      </c>
      <c r="K18" s="25" t="str">
        <f aca="false">IF(COUNTIFS(Calls!$A$2:$A$31,$A18,Calls!$D$2:$D$31,K$1)&gt;0,1,"")</f>
        <v/>
      </c>
      <c r="L18" s="25" t="str">
        <f aca="false">IF(COUNTIFS(Calls!$A$2:$A$31,$A18,Calls!$D$2:$D$31,L$1)&gt;0,1,"")</f>
        <v/>
      </c>
      <c r="M18" s="25" t="str">
        <f aca="false">IF(COUNTIFS(Calls!$A$2:$A$31,$A18,Calls!$D$2:$D$31,M$1)&gt;0,1,"")</f>
        <v/>
      </c>
      <c r="N18" s="25" t="str">
        <f aca="false">IF(COUNTIFS(Calls!$A$2:$A$31,$A18,Calls!$D$2:$D$31,N$1)&gt;0,1,"")</f>
        <v/>
      </c>
      <c r="O18" s="25" t="str">
        <f aca="false">IF(COUNTIFS(Calls!$A$2:$A$31,$A18,Calls!$D$2:$D$31,O$1)&gt;0,1,"")</f>
        <v/>
      </c>
      <c r="P18" s="25" t="str">
        <f aca="false">IF(COUNTIFS(Calls!$A$2:$A$31,$A18,Calls!$D$2:$D$31,P$1)&gt;0,1,"")</f>
        <v/>
      </c>
      <c r="Q18" s="25" t="str">
        <f aca="false">IF(COUNTIFS(Calls!$A$2:$A$31,$A18,Calls!$D$2:$D$31,Q$1)&gt;0,1,"")</f>
        <v/>
      </c>
      <c r="R18" s="25" t="str">
        <f aca="false">IF(COUNTIFS(Calls!$A$2:$A$31,$A18,Calls!$D$2:$D$31,R$1)&gt;0,1,"")</f>
        <v/>
      </c>
      <c r="S18" s="25" t="str">
        <f aca="false">IF(COUNTIFS(Calls!$A$2:$A$31,$A18,Calls!$D$2:$D$31,S$1)&gt;0,1,"")</f>
        <v/>
      </c>
      <c r="T18" s="25" t="str">
        <f aca="false">IF(COUNTIFS(Calls!$A$2:$A$31,$A18,Calls!$D$2:$D$31,T$1)&gt;0,1,"")</f>
        <v/>
      </c>
      <c r="U18" s="25" t="str">
        <f aca="false">IF(COUNTIFS(Calls!$A$2:$A$31,$A18,Calls!$D$2:$D$31,U$1)&gt;0,1,"")</f>
        <v/>
      </c>
      <c r="V18" s="25" t="str">
        <f aca="false">IF(COUNTIFS(Calls!$A$2:$A$31,$A18,Calls!$D$2:$D$31,V$1)&gt;0,1,"")</f>
        <v/>
      </c>
      <c r="W18" s="25" t="str">
        <f aca="false">IF(COUNTIFS(Calls!$A$2:$A$31,$A18,Calls!$D$2:$D$31,W$1)&gt;0,1,"")</f>
        <v/>
      </c>
      <c r="X18" s="25" t="str">
        <f aca="false">IF(COUNTIFS(Calls!$A$2:$A$31,$A18,Calls!$D$2:$D$31,X$1)&gt;0,1,"")</f>
        <v/>
      </c>
      <c r="Y18" s="25" t="str">
        <f aca="false">IF(COUNTIFS(Calls!$A$2:$A$31,$A18,Calls!$D$2:$D$31,Y$1)&gt;0,1,"")</f>
        <v/>
      </c>
      <c r="Z18" s="25" t="str">
        <f aca="false">IF(COUNTIFS(Calls!$A$2:$A$31,$A18,Calls!$D$2:$D$31,Z$1)&gt;0,1,"")</f>
        <v/>
      </c>
      <c r="AA18" s="25" t="str">
        <f aca="false">IF(COUNTIFS(Calls!$A$2:$A$31,$A18,Calls!$D$2:$D$31,AA$1)&gt;0,1,"")</f>
        <v/>
      </c>
      <c r="AB18" s="25" t="str">
        <f aca="false">IF(COUNTIFS(Calls!$A$2:$A$31,$A18,Calls!$D$2:$D$31,AB$1)&gt;0,1,"")</f>
        <v/>
      </c>
      <c r="AC18" s="25" t="str">
        <f aca="false">IF(COUNTIFS(Calls!$A$2:$A$31,$A18,Calls!$D$2:$D$31,AC$1)&gt;0,1,"")</f>
        <v/>
      </c>
      <c r="AD18" s="26" t="n">
        <f aca="false">SUM(B18:AC18)</f>
        <v>1</v>
      </c>
    </row>
    <row r="19" customFormat="false" ht="15" hidden="false" customHeight="false" outlineLevel="0" collapsed="false">
      <c r="A19" s="24" t="s">
        <v>111</v>
      </c>
      <c r="B19" s="25" t="str">
        <f aca="false">IF(COUNTIFS(Calls!$A$2:$A$31,$A19,Calls!$D$2:$D$31,B$1)&gt;0,1,"")</f>
        <v/>
      </c>
      <c r="C19" s="25" t="str">
        <f aca="false">IF(COUNTIFS(Calls!$A$2:$A$31,$A19,Calls!$D$2:$D$31,C$1)&gt;0,1,"")</f>
        <v/>
      </c>
      <c r="D19" s="25" t="str">
        <f aca="false">IF(COUNTIFS(Calls!$A$2:$A$31,$A19,Calls!$D$2:$D$31,D$1)&gt;0,1,"")</f>
        <v/>
      </c>
      <c r="E19" s="25" t="str">
        <f aca="false">IF(COUNTIFS(Calls!$A$2:$A$31,$A19,Calls!$D$2:$D$31,E$1)&gt;0,1,"")</f>
        <v/>
      </c>
      <c r="F19" s="25" t="str">
        <f aca="false">IF(COUNTIFS(Calls!$A$2:$A$31,$A19,Calls!$D$2:$D$31,F$1)&gt;0,1,"")</f>
        <v/>
      </c>
      <c r="G19" s="25" t="str">
        <f aca="false">IF(COUNTIFS(Calls!$A$2:$A$31,$A19,Calls!$D$2:$D$31,G$1)&gt;0,1,"")</f>
        <v/>
      </c>
      <c r="H19" s="25" t="n">
        <f aca="false">IF(COUNTIFS(Calls!$A$2:$A$31,$A19,Calls!$D$2:$D$31,H$1)&gt;0,1,"")</f>
        <v>1</v>
      </c>
      <c r="I19" s="25" t="str">
        <f aca="false">IF(COUNTIFS(Calls!$A$2:$A$31,$A19,Calls!$D$2:$D$31,I$1)&gt;0,1,"")</f>
        <v/>
      </c>
      <c r="J19" s="25" t="str">
        <f aca="false">IF(COUNTIFS(Calls!$A$2:$A$31,$A19,Calls!$D$2:$D$31,J$1)&gt;0,1,"")</f>
        <v/>
      </c>
      <c r="K19" s="25" t="str">
        <f aca="false">IF(COUNTIFS(Calls!$A$2:$A$31,$A19,Calls!$D$2:$D$31,K$1)&gt;0,1,"")</f>
        <v/>
      </c>
      <c r="L19" s="25" t="str">
        <f aca="false">IF(COUNTIFS(Calls!$A$2:$A$31,$A19,Calls!$D$2:$D$31,L$1)&gt;0,1,"")</f>
        <v/>
      </c>
      <c r="M19" s="25" t="str">
        <f aca="false">IF(COUNTIFS(Calls!$A$2:$A$31,$A19,Calls!$D$2:$D$31,M$1)&gt;0,1,"")</f>
        <v/>
      </c>
      <c r="N19" s="25" t="str">
        <f aca="false">IF(COUNTIFS(Calls!$A$2:$A$31,$A19,Calls!$D$2:$D$31,N$1)&gt;0,1,"")</f>
        <v/>
      </c>
      <c r="O19" s="25" t="str">
        <f aca="false">IF(COUNTIFS(Calls!$A$2:$A$31,$A19,Calls!$D$2:$D$31,O$1)&gt;0,1,"")</f>
        <v/>
      </c>
      <c r="P19" s="25" t="str">
        <f aca="false">IF(COUNTIFS(Calls!$A$2:$A$31,$A19,Calls!$D$2:$D$31,P$1)&gt;0,1,"")</f>
        <v/>
      </c>
      <c r="Q19" s="25" t="str">
        <f aca="false">IF(COUNTIFS(Calls!$A$2:$A$31,$A19,Calls!$D$2:$D$31,Q$1)&gt;0,1,"")</f>
        <v/>
      </c>
      <c r="R19" s="25" t="str">
        <f aca="false">IF(COUNTIFS(Calls!$A$2:$A$31,$A19,Calls!$D$2:$D$31,R$1)&gt;0,1,"")</f>
        <v/>
      </c>
      <c r="S19" s="25" t="str">
        <f aca="false">IF(COUNTIFS(Calls!$A$2:$A$31,$A19,Calls!$D$2:$D$31,S$1)&gt;0,1,"")</f>
        <v/>
      </c>
      <c r="T19" s="25" t="str">
        <f aca="false">IF(COUNTIFS(Calls!$A$2:$A$31,$A19,Calls!$D$2:$D$31,T$1)&gt;0,1,"")</f>
        <v/>
      </c>
      <c r="U19" s="25" t="str">
        <f aca="false">IF(COUNTIFS(Calls!$A$2:$A$31,$A19,Calls!$D$2:$D$31,U$1)&gt;0,1,"")</f>
        <v/>
      </c>
      <c r="V19" s="25" t="str">
        <f aca="false">IF(COUNTIFS(Calls!$A$2:$A$31,$A19,Calls!$D$2:$D$31,V$1)&gt;0,1,"")</f>
        <v/>
      </c>
      <c r="W19" s="25" t="str">
        <f aca="false">IF(COUNTIFS(Calls!$A$2:$A$31,$A19,Calls!$D$2:$D$31,W$1)&gt;0,1,"")</f>
        <v/>
      </c>
      <c r="X19" s="25" t="str">
        <f aca="false">IF(COUNTIFS(Calls!$A$2:$A$31,$A19,Calls!$D$2:$D$31,X$1)&gt;0,1,"")</f>
        <v/>
      </c>
      <c r="Y19" s="25" t="str">
        <f aca="false">IF(COUNTIFS(Calls!$A$2:$A$31,$A19,Calls!$D$2:$D$31,Y$1)&gt;0,1,"")</f>
        <v/>
      </c>
      <c r="Z19" s="25" t="str">
        <f aca="false">IF(COUNTIFS(Calls!$A$2:$A$31,$A19,Calls!$D$2:$D$31,Z$1)&gt;0,1,"")</f>
        <v/>
      </c>
      <c r="AA19" s="25" t="str">
        <f aca="false">IF(COUNTIFS(Calls!$A$2:$A$31,$A19,Calls!$D$2:$D$31,AA$1)&gt;0,1,"")</f>
        <v/>
      </c>
      <c r="AB19" s="25" t="str">
        <f aca="false">IF(COUNTIFS(Calls!$A$2:$A$31,$A19,Calls!$D$2:$D$31,AB$1)&gt;0,1,"")</f>
        <v/>
      </c>
      <c r="AC19" s="25" t="str">
        <f aca="false">IF(COUNTIFS(Calls!$A$2:$A$31,$A19,Calls!$D$2:$D$31,AC$1)&gt;0,1,"")</f>
        <v/>
      </c>
      <c r="AD19" s="26" t="n">
        <f aca="false">SUM(B19:AC19)</f>
        <v>1</v>
      </c>
    </row>
    <row r="20" customFormat="false" ht="15" hidden="false" customHeight="false" outlineLevel="0" collapsed="false">
      <c r="A20" s="14" t="s">
        <v>158</v>
      </c>
      <c r="B20" s="15" t="n">
        <f aca="false">SUM(B2:B19)</f>
        <v>2</v>
      </c>
      <c r="C20" s="15" t="n">
        <f aca="false">SUM(C2:C19)</f>
        <v>2</v>
      </c>
      <c r="D20" s="15" t="n">
        <f aca="false">SUM(D2:D19)</f>
        <v>1</v>
      </c>
      <c r="E20" s="15" t="n">
        <f aca="false">SUM(E2:E19)</f>
        <v>1</v>
      </c>
      <c r="F20" s="15" t="n">
        <f aca="false">SUM(F2:F19)</f>
        <v>1</v>
      </c>
      <c r="G20" s="15" t="n">
        <f aca="false">SUM(G2:G19)</f>
        <v>1</v>
      </c>
      <c r="H20" s="15" t="n">
        <f aca="false">SUM(H2:H19)</f>
        <v>1</v>
      </c>
      <c r="I20" s="15" t="n">
        <f aca="false">SUM(I2:I19)</f>
        <v>1</v>
      </c>
      <c r="J20" s="15" t="n">
        <f aca="false">SUM(J2:J19)</f>
        <v>1</v>
      </c>
      <c r="K20" s="15" t="n">
        <f aca="false">SUM(K2:K19)</f>
        <v>1</v>
      </c>
      <c r="L20" s="15" t="n">
        <f aca="false">SUM(L2:L19)</f>
        <v>1</v>
      </c>
      <c r="M20" s="15" t="n">
        <f aca="false">SUM(M2:M19)</f>
        <v>1</v>
      </c>
      <c r="N20" s="15" t="n">
        <f aca="false">SUM(N2:N19)</f>
        <v>1</v>
      </c>
      <c r="O20" s="15" t="n">
        <f aca="false">SUM(O2:O19)</f>
        <v>1</v>
      </c>
      <c r="P20" s="15" t="n">
        <f aca="false">SUM(P2:P19)</f>
        <v>1</v>
      </c>
      <c r="Q20" s="15" t="n">
        <f aca="false">SUM(Q2:Q19)</f>
        <v>1</v>
      </c>
      <c r="R20" s="15" t="n">
        <f aca="false">SUM(R2:R19)</f>
        <v>1</v>
      </c>
      <c r="S20" s="15" t="n">
        <f aca="false">SUM(S2:S19)</f>
        <v>1</v>
      </c>
      <c r="T20" s="15" t="n">
        <f aca="false">SUM(T2:T19)</f>
        <v>1</v>
      </c>
      <c r="U20" s="15" t="n">
        <f aca="false">SUM(U2:U19)</f>
        <v>1</v>
      </c>
      <c r="V20" s="15" t="n">
        <f aca="false">SUM(V2:V19)</f>
        <v>1</v>
      </c>
      <c r="W20" s="15" t="n">
        <f aca="false">SUM(W2:W19)</f>
        <v>1</v>
      </c>
      <c r="X20" s="15" t="n">
        <f aca="false">SUM(X2:X19)</f>
        <v>1</v>
      </c>
      <c r="Y20" s="15" t="n">
        <f aca="false">SUM(Y2:Y19)</f>
        <v>1</v>
      </c>
      <c r="Z20" s="15" t="n">
        <f aca="false">SUM(Z2:Z19)</f>
        <v>1</v>
      </c>
      <c r="AA20" s="15" t="n">
        <f aca="false">SUM(AA2:AA19)</f>
        <v>1</v>
      </c>
      <c r="AB20" s="15" t="n">
        <f aca="false">SUM(AB2:AB19)</f>
        <v>1</v>
      </c>
      <c r="AC20" s="15" t="n">
        <f aca="false">SUM(AC2:AC19)</f>
        <v>1</v>
      </c>
      <c r="AD20" s="15" t="n">
        <f aca="false">SUM(AD2:AD19)</f>
        <v>30</v>
      </c>
    </row>
  </sheetData>
  <conditionalFormatting sqref="B2:AC19">
    <cfRule type="cellIs" priority="2" operator="equal" aboveAverage="0" equalAverage="0" bottom="0" percent="0" rank="0" text="" dxfId="6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2026-10-12T07:01:45Z</dcterms:created>
  <dc:creator>openpyxl</dc:creator>
  <dc:description/>
  <dc:language>en-US</dc:language>
  <cp:lastModifiedBy/>
  <dcterms:modified xsi:type="dcterms:W3CDTF">2026-10-12T07:01:45Z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